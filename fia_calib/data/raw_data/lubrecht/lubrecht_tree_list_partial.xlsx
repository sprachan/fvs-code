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LRA\Teaching\FORS591_local\Lectures\8 NSVB implement\"/>
    </mc:Choice>
  </mc:AlternateContent>
  <xr:revisionPtr revIDLastSave="0" documentId="13_ncr:9_{A862FE3F-CE02-482D-BD1C-878C44F9788D}" xr6:coauthVersionLast="47" xr6:coauthVersionMax="47" xr10:uidLastSave="{00000000-0000-0000-0000-000000000000}"/>
  <bookViews>
    <workbookView xWindow="-108" yWindow="-108" windowWidth="23256" windowHeight="13896" xr2:uid="{450BE8A5-F86B-4F3F-9BE4-D416F41BF19F}"/>
  </bookViews>
  <sheets>
    <sheet name="lef_sample" sheetId="1" r:id="rId1"/>
    <sheet name="Species_Slope_DRC" sheetId="2" r:id="rId2"/>
    <sheet name="Data Key" sheetId="3" r:id="rId3"/>
  </sheets>
  <calcPr calcId="0"/>
</workbook>
</file>

<file path=xl/calcChain.xml><?xml version="1.0" encoding="utf-8"?>
<calcChain xmlns="http://schemas.openxmlformats.org/spreadsheetml/2006/main">
  <c r="E106" i="2" l="1"/>
  <c r="G106" i="2" s="1"/>
  <c r="E104" i="2"/>
  <c r="G104" i="2" s="1"/>
  <c r="E103" i="2"/>
  <c r="G103" i="2" s="1"/>
  <c r="E102" i="2"/>
  <c r="G102" i="2" s="1"/>
  <c r="E101" i="2"/>
  <c r="G101" i="2" s="1"/>
  <c r="E100" i="2"/>
  <c r="G100" i="2" s="1"/>
  <c r="E99" i="2"/>
  <c r="G99" i="2" s="1"/>
  <c r="E98" i="2"/>
  <c r="F98" i="2" s="1"/>
  <c r="G97" i="2"/>
  <c r="E97" i="2"/>
  <c r="F97" i="2" s="1"/>
  <c r="E96" i="2"/>
  <c r="G96" i="2" s="1"/>
  <c r="E95" i="2"/>
  <c r="G95" i="2" s="1"/>
  <c r="E94" i="2"/>
  <c r="G94" i="2" s="1"/>
  <c r="G93" i="2"/>
  <c r="E93" i="2"/>
  <c r="F93" i="2" s="1"/>
  <c r="G92" i="2"/>
  <c r="E92" i="2"/>
  <c r="F92" i="2" s="1"/>
  <c r="E91" i="2"/>
  <c r="G91" i="2" s="1"/>
  <c r="F90" i="2"/>
  <c r="E90" i="2"/>
  <c r="G90" i="2" s="1"/>
  <c r="E89" i="2"/>
  <c r="G89" i="2" s="1"/>
  <c r="E88" i="2"/>
  <c r="G88" i="2" s="1"/>
  <c r="E87" i="2"/>
  <c r="G87" i="2" s="1"/>
  <c r="G86" i="2"/>
  <c r="F86" i="2"/>
  <c r="E86" i="2"/>
  <c r="F85" i="2"/>
  <c r="E85" i="2"/>
  <c r="G85" i="2" s="1"/>
  <c r="E84" i="2"/>
  <c r="G84" i="2" s="1"/>
  <c r="E83" i="2"/>
  <c r="G83" i="2" s="1"/>
  <c r="G82" i="2"/>
  <c r="E82" i="2"/>
  <c r="F82" i="2" s="1"/>
  <c r="F81" i="2"/>
  <c r="E81" i="2"/>
  <c r="G81" i="2" s="1"/>
  <c r="E80" i="2"/>
  <c r="G80" i="2" s="1"/>
  <c r="E79" i="2"/>
  <c r="G79" i="2" s="1"/>
  <c r="E78" i="2"/>
  <c r="G78" i="2" s="1"/>
  <c r="G77" i="2"/>
  <c r="E77" i="2"/>
  <c r="F77" i="2" s="1"/>
  <c r="E76" i="2"/>
  <c r="G76" i="2" s="1"/>
  <c r="G75" i="2"/>
  <c r="F75" i="2"/>
  <c r="E75" i="2"/>
  <c r="E74" i="2"/>
  <c r="G74" i="2" s="1"/>
  <c r="E73" i="2"/>
  <c r="G73" i="2" s="1"/>
  <c r="E72" i="2"/>
  <c r="G72" i="2" s="1"/>
  <c r="G71" i="2"/>
  <c r="E71" i="2"/>
  <c r="F71" i="2" s="1"/>
  <c r="G70" i="2"/>
  <c r="F70" i="2"/>
  <c r="E70" i="2"/>
  <c r="E69" i="2"/>
  <c r="G69" i="2" s="1"/>
  <c r="E68" i="2"/>
  <c r="F68" i="2" s="1"/>
  <c r="E67" i="2"/>
  <c r="G67" i="2" s="1"/>
  <c r="G66" i="2"/>
  <c r="E66" i="2"/>
  <c r="F66" i="2" s="1"/>
  <c r="E65" i="2"/>
  <c r="G65" i="2" s="1"/>
  <c r="G64" i="2"/>
  <c r="F64" i="2"/>
  <c r="E64" i="2"/>
  <c r="E63" i="2"/>
  <c r="G63" i="2" s="1"/>
  <c r="E62" i="2"/>
  <c r="G62" i="2" s="1"/>
  <c r="E61" i="2"/>
  <c r="G61" i="2" s="1"/>
  <c r="G60" i="2"/>
  <c r="E60" i="2"/>
  <c r="F60" i="2" s="1"/>
  <c r="F59" i="2"/>
  <c r="E59" i="2"/>
  <c r="G59" i="2" s="1"/>
  <c r="E58" i="2"/>
  <c r="G58" i="2" s="1"/>
  <c r="E57" i="2"/>
  <c r="G57" i="2" s="1"/>
  <c r="E56" i="2"/>
  <c r="G56" i="2" s="1"/>
  <c r="G55" i="2"/>
  <c r="E55" i="2"/>
  <c r="F55" i="2" s="1"/>
  <c r="E54" i="2"/>
  <c r="G54" i="2" s="1"/>
  <c r="G53" i="2"/>
  <c r="F53" i="2"/>
  <c r="E53" i="2"/>
  <c r="E52" i="2"/>
  <c r="G52" i="2" s="1"/>
  <c r="E51" i="2"/>
  <c r="G51" i="2" s="1"/>
  <c r="E50" i="2"/>
  <c r="F50" i="2" s="1"/>
  <c r="G49" i="2"/>
  <c r="E49" i="2"/>
  <c r="F49" i="2" s="1"/>
  <c r="G48" i="2"/>
  <c r="F48" i="2"/>
  <c r="E48" i="2"/>
  <c r="E47" i="2"/>
  <c r="G47" i="2" s="1"/>
  <c r="E46" i="2"/>
  <c r="F46" i="2" s="1"/>
  <c r="E45" i="2"/>
  <c r="G45" i="2" s="1"/>
  <c r="G44" i="2"/>
  <c r="E44" i="2"/>
  <c r="F44" i="2" s="1"/>
  <c r="E43" i="2"/>
  <c r="G43" i="2" s="1"/>
  <c r="G42" i="2"/>
  <c r="F42" i="2"/>
  <c r="E42" i="2"/>
  <c r="E41" i="2"/>
  <c r="F41" i="2" s="1"/>
  <c r="E40" i="2"/>
  <c r="G40" i="2" s="1"/>
  <c r="E39" i="2"/>
  <c r="G39" i="2" s="1"/>
  <c r="G38" i="2"/>
  <c r="E38" i="2"/>
  <c r="F38" i="2" s="1"/>
  <c r="F37" i="2"/>
  <c r="E37" i="2"/>
  <c r="G37" i="2" s="1"/>
  <c r="E36" i="2"/>
  <c r="F36" i="2" s="1"/>
  <c r="E35" i="2"/>
  <c r="G35" i="2" s="1"/>
  <c r="E34" i="2"/>
  <c r="G34" i="2" s="1"/>
  <c r="G33" i="2"/>
  <c r="E33" i="2"/>
  <c r="F33" i="2" s="1"/>
  <c r="E32" i="2"/>
  <c r="G32" i="2" s="1"/>
  <c r="G31" i="2"/>
  <c r="F31" i="2"/>
  <c r="E31" i="2"/>
  <c r="E30" i="2"/>
  <c r="G30" i="2" s="1"/>
  <c r="E29" i="2"/>
  <c r="G29" i="2" s="1"/>
  <c r="E28" i="2"/>
  <c r="G28" i="2" s="1"/>
  <c r="G27" i="2"/>
  <c r="E27" i="2"/>
  <c r="F27" i="2" s="1"/>
  <c r="G26" i="2"/>
  <c r="F26" i="2"/>
  <c r="E26" i="2"/>
  <c r="E25" i="2"/>
  <c r="G25" i="2" s="1"/>
  <c r="E24" i="2"/>
  <c r="G24" i="2" s="1"/>
  <c r="E23" i="2"/>
  <c r="G23" i="2" s="1"/>
  <c r="G22" i="2"/>
  <c r="E22" i="2"/>
  <c r="F22" i="2" s="1"/>
  <c r="E21" i="2"/>
  <c r="G21" i="2" s="1"/>
  <c r="G20" i="2"/>
  <c r="F20" i="2"/>
  <c r="E20" i="2"/>
  <c r="E19" i="2"/>
  <c r="F19" i="2" s="1"/>
  <c r="E18" i="2"/>
  <c r="G18" i="2" s="1"/>
  <c r="E17" i="2"/>
  <c r="G17" i="2" s="1"/>
  <c r="G16" i="2"/>
  <c r="E16" i="2"/>
  <c r="F16" i="2" s="1"/>
  <c r="F15" i="2"/>
  <c r="E15" i="2"/>
  <c r="G15" i="2" s="1"/>
  <c r="E14" i="2"/>
  <c r="G14" i="2" s="1"/>
  <c r="E13" i="2"/>
  <c r="G13" i="2" s="1"/>
  <c r="E12" i="2"/>
  <c r="G12" i="2" s="1"/>
  <c r="G11" i="2"/>
  <c r="E11" i="2"/>
  <c r="F11" i="2" s="1"/>
  <c r="E10" i="2"/>
  <c r="G10" i="2" s="1"/>
  <c r="G9" i="2"/>
  <c r="F9" i="2"/>
  <c r="E9" i="2"/>
  <c r="E8" i="2"/>
  <c r="G8" i="2" s="1"/>
  <c r="E7" i="2"/>
  <c r="G7" i="2" s="1"/>
  <c r="E6" i="2"/>
  <c r="G6" i="2" s="1"/>
  <c r="G5" i="2"/>
  <c r="E5" i="2"/>
  <c r="F5" i="2" s="1"/>
  <c r="J2" i="2"/>
  <c r="F24" i="2" l="1"/>
  <c r="F91" i="2"/>
  <c r="G98" i="2"/>
  <c r="F17" i="2"/>
  <c r="F39" i="2"/>
  <c r="G46" i="2"/>
  <c r="F61" i="2"/>
  <c r="G68" i="2"/>
  <c r="F83" i="2"/>
  <c r="F10" i="2"/>
  <c r="F32" i="2"/>
  <c r="F54" i="2"/>
  <c r="F76" i="2"/>
  <c r="F25" i="2"/>
  <c r="F47" i="2"/>
  <c r="F69" i="2"/>
  <c r="F18" i="2"/>
  <c r="F40" i="2"/>
  <c r="F62" i="2"/>
  <c r="F84" i="2"/>
  <c r="F99" i="2"/>
  <c r="F63" i="2"/>
  <c r="F12" i="2"/>
  <c r="G19" i="2"/>
  <c r="F34" i="2"/>
  <c r="G41" i="2"/>
  <c r="F56" i="2"/>
  <c r="F78" i="2"/>
  <c r="F100" i="2"/>
  <c r="F57" i="2"/>
  <c r="F101" i="2"/>
  <c r="F13" i="2"/>
  <c r="F94" i="2"/>
  <c r="F35" i="2"/>
  <c r="F102" i="2"/>
  <c r="F79" i="2"/>
  <c r="F72" i="2"/>
  <c r="G50" i="2"/>
  <c r="F65" i="2"/>
  <c r="F87" i="2"/>
  <c r="F80" i="2"/>
  <c r="G36" i="2"/>
  <c r="F95" i="2"/>
  <c r="F6" i="2"/>
  <c r="F28" i="2"/>
  <c r="F21" i="2"/>
  <c r="F43" i="2"/>
  <c r="F14" i="2"/>
  <c r="F58" i="2"/>
  <c r="F7" i="2"/>
  <c r="F29" i="2"/>
  <c r="F51" i="2"/>
  <c r="F73" i="2"/>
  <c r="F88" i="2"/>
  <c r="F103" i="2"/>
  <c r="F96" i="2"/>
  <c r="F8" i="2"/>
  <c r="F30" i="2"/>
  <c r="F52" i="2"/>
  <c r="F74" i="2"/>
  <c r="F23" i="2"/>
  <c r="F45" i="2"/>
  <c r="F67" i="2"/>
  <c r="F89" i="2"/>
  <c r="F104" i="2"/>
  <c r="F106" i="2"/>
</calcChain>
</file>

<file path=xl/sharedStrings.xml><?xml version="1.0" encoding="utf-8"?>
<sst xmlns="http://schemas.openxmlformats.org/spreadsheetml/2006/main" count="1637" uniqueCount="295">
  <si>
    <t>Year</t>
  </si>
  <si>
    <t>PlotID</t>
  </si>
  <si>
    <t>TreeID</t>
  </si>
  <si>
    <t>unique_tree</t>
  </si>
  <si>
    <t>group</t>
  </si>
  <si>
    <t>Species</t>
  </si>
  <si>
    <t>Status</t>
  </si>
  <si>
    <t>StatusNote</t>
  </si>
  <si>
    <t>DecayClass</t>
  </si>
  <si>
    <t>DBH</t>
  </si>
  <si>
    <t>TotalLen</t>
  </si>
  <si>
    <t>ActualLen</t>
  </si>
  <si>
    <t>BoleLen</t>
  </si>
  <si>
    <t>DOB_break</t>
  </si>
  <si>
    <t>Defect</t>
  </si>
  <si>
    <t>Comments</t>
  </si>
  <si>
    <t>Survivor</t>
  </si>
  <si>
    <t>s24</t>
  </si>
  <si>
    <t>bd17.7s30sd38.02</t>
  </si>
  <si>
    <t>Mortality_Downed</t>
  </si>
  <si>
    <t>stillattachee</t>
  </si>
  <si>
    <t>htsest</t>
  </si>
  <si>
    <t>esthts</t>
  </si>
  <si>
    <t>pt4.97dbh</t>
  </si>
  <si>
    <t>Dead_Downed</t>
  </si>
  <si>
    <t>Mortality_But_Standing</t>
  </si>
  <si>
    <t>topongdlvcmb</t>
  </si>
  <si>
    <t>topongd</t>
  </si>
  <si>
    <t>t3474dead</t>
  </si>
  <si>
    <t>ongdattchd</t>
  </si>
  <si>
    <t>topongrd</t>
  </si>
  <si>
    <t>recvd</t>
  </si>
  <si>
    <t>s30rcvd</t>
  </si>
  <si>
    <t>rcvd</t>
  </si>
  <si>
    <t>Dead_Still_Standing</t>
  </si>
  <si>
    <t>Cut_Live</t>
  </si>
  <si>
    <t>OffPlot_Live</t>
  </si>
  <si>
    <t>seam</t>
  </si>
  <si>
    <t>bd3.3sd11.44</t>
  </si>
  <si>
    <t>leaner</t>
  </si>
  <si>
    <t>pistolbutt</t>
  </si>
  <si>
    <t>newleader</t>
  </si>
  <si>
    <t>treeforked</t>
  </si>
  <si>
    <t>almostdead</t>
  </si>
  <si>
    <t>scarnomissingwood</t>
  </si>
  <si>
    <t>recovered</t>
  </si>
  <si>
    <t>lvcmbalmostdead</t>
  </si>
  <si>
    <t>hollowtree</t>
  </si>
  <si>
    <t>hardlean</t>
  </si>
  <si>
    <t>sweeplean</t>
  </si>
  <si>
    <t>sweep</t>
  </si>
  <si>
    <t>SE</t>
  </si>
  <si>
    <t>sd36.54bd9</t>
  </si>
  <si>
    <t>nt4.9</t>
  </si>
  <si>
    <t>lvcmb</t>
  </si>
  <si>
    <t>d19.3sd37.22s19</t>
  </si>
  <si>
    <t>bd3.0sd11.51</t>
  </si>
  <si>
    <t>prevtree0.98</t>
  </si>
  <si>
    <t>bd13.1sd36.9s16</t>
  </si>
  <si>
    <t>standup</t>
  </si>
  <si>
    <t>bd8.7s10sd36.8</t>
  </si>
  <si>
    <t>bd11s9sd36.6</t>
  </si>
  <si>
    <t>tapedin</t>
  </si>
  <si>
    <t>nxtr4.7</t>
  </si>
  <si>
    <t>nd</t>
  </si>
  <si>
    <t>greenneedles</t>
  </si>
  <si>
    <t>nogreen</t>
  </si>
  <si>
    <t>bd6.8sd36.59s6</t>
  </si>
  <si>
    <t>alive</t>
  </si>
  <si>
    <t>5.0aboveswell</t>
  </si>
  <si>
    <t>brokealive</t>
  </si>
  <si>
    <t>slp30</t>
  </si>
  <si>
    <t>slp57</t>
  </si>
  <si>
    <t>slp56</t>
  </si>
  <si>
    <t>slp23</t>
  </si>
  <si>
    <t>d6.8s2dist36.7</t>
  </si>
  <si>
    <t>d9.7s10sd36.2</t>
  </si>
  <si>
    <t>slp44</t>
  </si>
  <si>
    <t>slp37</t>
  </si>
  <si>
    <t>slp42</t>
  </si>
  <si>
    <t>slp45</t>
  </si>
  <si>
    <t>bd5.7S60sd40.4</t>
  </si>
  <si>
    <t>bd6.3S61sd42.45</t>
  </si>
  <si>
    <t>bd6.3S44sd38.93</t>
  </si>
  <si>
    <t>livefork.recvered</t>
  </si>
  <si>
    <t>slp61</t>
  </si>
  <si>
    <t>btnondlslvcam</t>
  </si>
  <si>
    <t>slp24</t>
  </si>
  <si>
    <t>bd17.9, slp30 sd38.10, ntjo bd15.5, sd39.39, slp33</t>
  </si>
  <si>
    <t>F</t>
  </si>
  <si>
    <t>dead standing less than 15 feet (14 feet)</t>
  </si>
  <si>
    <t>dead standing less than 15 feet (13 feet)</t>
  </si>
  <si>
    <t>bd10.9s32sd37.49</t>
  </si>
  <si>
    <t>G</t>
  </si>
  <si>
    <t>mistally, s1sd12.05</t>
  </si>
  <si>
    <t>ntjo, bd37.28, buttd 15.1, no slope</t>
  </si>
  <si>
    <t>died</t>
  </si>
  <si>
    <t>Ingrowth_Live</t>
  </si>
  <si>
    <t>A</t>
  </si>
  <si>
    <t>after t15</t>
  </si>
  <si>
    <t>after t24</t>
  </si>
  <si>
    <t>after t29</t>
  </si>
  <si>
    <t>bd 13.7s7sd36.86 LD</t>
  </si>
  <si>
    <t>hollow tree</t>
  </si>
  <si>
    <t>died lean greater than 45</t>
  </si>
  <si>
    <t>few grn needles almost dead</t>
  </si>
  <si>
    <t>fell over died</t>
  </si>
  <si>
    <t>almost dead</t>
  </si>
  <si>
    <t>ntjo bd20.3sd38.00s18</t>
  </si>
  <si>
    <t>bd3.9sd11.50s10</t>
  </si>
  <si>
    <t>after t4</t>
  </si>
  <si>
    <t>WT Y could die probably wont fall over</t>
  </si>
  <si>
    <t>ntjo 4.9"dbh</t>
  </si>
  <si>
    <t>onground</t>
  </si>
  <si>
    <t>9.6dbhht is not replicable, 22.0 at 4.5dbhht broke top recovered 75ft tall</t>
  </si>
  <si>
    <t>barely alive, few live branches</t>
  </si>
  <si>
    <t>bd10.3, slp8, sd36.75, broke top but alive 16ft tall</t>
  </si>
  <si>
    <t>bd13.0, slp6, sd36.54</t>
  </si>
  <si>
    <t>sd11.32</t>
  </si>
  <si>
    <t>ntjo micro lees than 1"</t>
  </si>
  <si>
    <t>after t10</t>
  </si>
  <si>
    <t>after t14</t>
  </si>
  <si>
    <t>after t25</t>
  </si>
  <si>
    <t>bd6.7sd36.7s8</t>
  </si>
  <si>
    <t>SPP change</t>
  </si>
  <si>
    <t>fell down</t>
  </si>
  <si>
    <t>tree broke off at 7 feet</t>
  </si>
  <si>
    <t>out tree, 9.7 55% 42.875</t>
  </si>
  <si>
    <t>out tree. 8.1 55% 42.82</t>
  </si>
  <si>
    <t>out tree 10.1 25% 38.8 feet</t>
  </si>
  <si>
    <t>broken top with a recovered leader</t>
  </si>
  <si>
    <t>micro tree died</t>
  </si>
  <si>
    <t>one live fork</t>
  </si>
  <si>
    <t>5% crown</t>
  </si>
  <si>
    <t>&lt;45degrees</t>
  </si>
  <si>
    <t>&lt;45 degrees</t>
  </si>
  <si>
    <t>Spp. Code</t>
  </si>
  <si>
    <t>Plot Radius Distances</t>
  </si>
  <si>
    <t>Total DRC</t>
  </si>
  <si>
    <t>Grand Fir</t>
  </si>
  <si>
    <t>Tree Status</t>
  </si>
  <si>
    <t>Additional Tree Status</t>
  </si>
  <si>
    <t>Subalpine Fir</t>
  </si>
  <si>
    <t>% Slope</t>
  </si>
  <si>
    <t>Degrees Slope</t>
  </si>
  <si>
    <t>Slope Distances</t>
  </si>
  <si>
    <t>DRC Stem #</t>
  </si>
  <si>
    <t>Diameter</t>
  </si>
  <si>
    <t>Code</t>
  </si>
  <si>
    <t>Description</t>
  </si>
  <si>
    <t>Rocky Mountan Juniper</t>
  </si>
  <si>
    <t>DRC 1</t>
  </si>
  <si>
    <t>No Status</t>
  </si>
  <si>
    <t>Ingrowth</t>
  </si>
  <si>
    <t>Western Larch</t>
  </si>
  <si>
    <t>DRC 2</t>
  </si>
  <si>
    <t>Live</t>
  </si>
  <si>
    <t>B</t>
  </si>
  <si>
    <t>Through-Growth</t>
  </si>
  <si>
    <t>Engelmann Spruce</t>
  </si>
  <si>
    <t>DRC 3</t>
  </si>
  <si>
    <t>Dead</t>
  </si>
  <si>
    <t>C</t>
  </si>
  <si>
    <t>Missed Live</t>
  </si>
  <si>
    <t>Lodgepole Pine</t>
  </si>
  <si>
    <t>DRC 4</t>
  </si>
  <si>
    <t>Removed</t>
  </si>
  <si>
    <t>D</t>
  </si>
  <si>
    <t>Missed Dead</t>
  </si>
  <si>
    <t>Western White Pine</t>
  </si>
  <si>
    <t>DRC 5</t>
  </si>
  <si>
    <t>E</t>
  </si>
  <si>
    <t>Shrank</t>
  </si>
  <si>
    <t>Ponderosa Pine</t>
  </si>
  <si>
    <t>DRC 6</t>
  </si>
  <si>
    <t>Missed / Moved</t>
  </si>
  <si>
    <t>Douglas-Fir</t>
  </si>
  <si>
    <t>DRC 7</t>
  </si>
  <si>
    <t>Cruiser Error</t>
  </si>
  <si>
    <t>Unknown Dead Softwood</t>
  </si>
  <si>
    <t>DRC 8</t>
  </si>
  <si>
    <t>H</t>
  </si>
  <si>
    <t>Procedural Change</t>
  </si>
  <si>
    <t>Rocky Mountan Maple</t>
  </si>
  <si>
    <t>DRC 9</t>
  </si>
  <si>
    <t>Alder Spp.</t>
  </si>
  <si>
    <t>DRC 10</t>
  </si>
  <si>
    <t>Water birch</t>
  </si>
  <si>
    <t>DRC 11</t>
  </si>
  <si>
    <t>Paper birch</t>
  </si>
  <si>
    <t>DRC 12</t>
  </si>
  <si>
    <t>Bigtooth Aspen</t>
  </si>
  <si>
    <t>DRC 13</t>
  </si>
  <si>
    <t>Quaking Aspen</t>
  </si>
  <si>
    <t>DRC 14</t>
  </si>
  <si>
    <t>Black Cottonwood</t>
  </si>
  <si>
    <t>DRC 15</t>
  </si>
  <si>
    <t>Willow Spp.</t>
  </si>
  <si>
    <t>DRC 16</t>
  </si>
  <si>
    <t>Unknown Dead Hardwood</t>
  </si>
  <si>
    <t>DRC 17</t>
  </si>
  <si>
    <t>Unknown Live Species</t>
  </si>
  <si>
    <t>DRC 18</t>
  </si>
  <si>
    <t>DRC 19</t>
  </si>
  <si>
    <t>DRC 20</t>
  </si>
  <si>
    <t>DRC 21</t>
  </si>
  <si>
    <t>DRC 22</t>
  </si>
  <si>
    <t>DRC 23</t>
  </si>
  <si>
    <t>DRC 24</t>
  </si>
  <si>
    <t>DRC 25</t>
  </si>
  <si>
    <t>Column Label</t>
  </si>
  <si>
    <t>Species Codes</t>
  </si>
  <si>
    <t>Common Name</t>
  </si>
  <si>
    <t>Diameter Method</t>
  </si>
  <si>
    <t>TREES (tab)</t>
  </si>
  <si>
    <t>Tree level data recorded at each tree</t>
  </si>
  <si>
    <t>Plot ID</t>
  </si>
  <si>
    <t>Plot Identification number associated with plot grid GIS shape file and plot number monumented at each corresponding  plot</t>
  </si>
  <si>
    <t>Tree ID</t>
  </si>
  <si>
    <t>Tree Identification number corresponding  to tree numbers painted on each tree.  Generally ascending as oriented from north working clockwise</t>
  </si>
  <si>
    <t>DRC</t>
  </si>
  <si>
    <t>FIA species code</t>
  </si>
  <si>
    <t>Measured diameter expressed in inches.  Generally, Diameter at Breast Height.  Otherwise Diameter at Root Collar for species (Rocky Mountain Juniper and Maple)</t>
  </si>
  <si>
    <t>Total Length (THT)</t>
  </si>
  <si>
    <t>Tree length from the ground on the high side of tree to actual tip or estimated tip (phantom) expressed in feet</t>
  </si>
  <si>
    <t>Status (0 - 3)</t>
  </si>
  <si>
    <t>No Status = 0 (Tree no longer qualifies to be measured), Live Tree= 1 (live cambium found), Dead Tree= 2 (no live cambium found), 3 = Tree Harvested</t>
  </si>
  <si>
    <t>Decay Class</t>
  </si>
  <si>
    <t>Dead tree decay class, 1 = least decayed 5 = most decayed</t>
  </si>
  <si>
    <t>Defect%</t>
  </si>
  <si>
    <t>Percent defect applied to trees considering only missing or rotten wood from a 1' stump up to 4" DOB or break (AHT) whichever is first</t>
  </si>
  <si>
    <t>Bole Length (FHT)</t>
  </si>
  <si>
    <t>Length of tree bole from the ground on the high side of tree to 4" DOB (diameter outside bark) expressed in feet</t>
  </si>
  <si>
    <t>Mountain Alder</t>
  </si>
  <si>
    <t>Actual Length (AHT)</t>
  </si>
  <si>
    <t>Actual length of tree bole from the ground on the high side of tree to a defined break in the tree bole (50%+ dead trees or 100% live trees) expressed in feet. If no break, cell is blank</t>
  </si>
  <si>
    <t>DOB @ Break</t>
  </si>
  <si>
    <t>Diameter outside bark at a defined break in the tree bole (50%+ dead trees or 100% live trees) expressed in inches; If no break, cell is blank</t>
  </si>
  <si>
    <t>DBH_Ht (if other than 4.5')</t>
  </si>
  <si>
    <t>Height from ground on the high side of tree if DBH was measured on a tree location other than 4.5' (DBH species only) expressed in feet</t>
  </si>
  <si>
    <t>Specific comments made on trees</t>
  </si>
  <si>
    <t>PLOTS (tab)</t>
  </si>
  <si>
    <t>Plot level data recorded at each plot</t>
  </si>
  <si>
    <t>Plot Identification number associated with plot grid GIS shape file and plot number monumented at each corresponding plot</t>
  </si>
  <si>
    <t>Cruiser</t>
  </si>
  <si>
    <t>The initials of the Plot Leader at corresponding plots</t>
  </si>
  <si>
    <t>Date</t>
  </si>
  <si>
    <t>Date (month, day, year) on which the inventory plot was measured. If done on two days, then the later of the two days.</t>
  </si>
  <si>
    <t>Null / Dropped Plot</t>
  </si>
  <si>
    <t>YES / NO of whether plot is a No Tally or Dropped plot</t>
  </si>
  <si>
    <t>Boundary Plot</t>
  </si>
  <si>
    <t>YES / NO of whether plot is adjacent a project boundary and therefore needs to have boundary measurements collected</t>
  </si>
  <si>
    <t>Boundary Type</t>
  </si>
  <si>
    <t>List the type of non-project area which the plot is adjacent to</t>
  </si>
  <si>
    <t>LeftAzm</t>
  </si>
  <si>
    <t>Boundary plot left azimuth (0 - 359) measured from plot center to the boundary point</t>
  </si>
  <si>
    <t>RightAzm</t>
  </si>
  <si>
    <t>Boundary plot right azimuth (0 - 359) measured from plot center to the boundary point</t>
  </si>
  <si>
    <t>BAMortality</t>
  </si>
  <si>
    <t>Estimated Basal Area of dead trees within the area in which the plot is located. Incriments of 20: 0-20, 20-40, etc.</t>
  </si>
  <si>
    <t>DamageAgent</t>
  </si>
  <si>
    <t>Estimated cause of notable mortality within the area in which the plot is located.</t>
  </si>
  <si>
    <t>SiteQuality</t>
  </si>
  <si>
    <t>Estimated site quality of the area in which the plot is located</t>
  </si>
  <si>
    <t>Slope Class</t>
  </si>
  <si>
    <t>Estimated slope of the area in which the plot is located</t>
  </si>
  <si>
    <t>Aspect</t>
  </si>
  <si>
    <t>Estimated aspect of the area in which the plot is located</t>
  </si>
  <si>
    <t>OverSPP</t>
  </si>
  <si>
    <t>Dominant overstory species of the area in which the plot is located</t>
  </si>
  <si>
    <t>UnderSPP</t>
  </si>
  <si>
    <t>Dominant understory species of the area in which the plot is located</t>
  </si>
  <si>
    <t>RMZ</t>
  </si>
  <si>
    <t>Indicate if the plot is located within a Riparian Management Zone.  If YES, make comment on situation</t>
  </si>
  <si>
    <t>Plot Video</t>
  </si>
  <si>
    <t>Indicate if a plot video was taken at the respective plot.  If NO, make a comment on situation</t>
  </si>
  <si>
    <t>Witness Tree Info</t>
  </si>
  <si>
    <t>YES / NO of if the Witness Tree information from 2018 needed to be updated</t>
  </si>
  <si>
    <t>X_Tree</t>
  </si>
  <si>
    <t>X Witness Tree ID, OP if tree is off plot</t>
  </si>
  <si>
    <t>X_Azm</t>
  </si>
  <si>
    <t>Azimuth from plot center to the X Witness Tree</t>
  </si>
  <si>
    <t>X_Slp</t>
  </si>
  <si>
    <t>Slope % from the dot located on the face of the X Witness Tree to plot center (approx. 1' from ground at both measurement locations)</t>
  </si>
  <si>
    <t>X_SlpDist</t>
  </si>
  <si>
    <t>Slope distance expressed in feet from the dot located on the face of the X Witness Tree to the plot center (approx. 1' from ground at both measurement locations)</t>
  </si>
  <si>
    <t>Y_Tree</t>
  </si>
  <si>
    <t>Y Witness Tree ID, OP if tree is off plot</t>
  </si>
  <si>
    <t>Y_Azm</t>
  </si>
  <si>
    <t>Azimuth from plot center to the Y Witness Tree</t>
  </si>
  <si>
    <t>Y_Slp</t>
  </si>
  <si>
    <t>Slope % from the dot located on the face of the Y Witness Tree to plot center (approx. 1' from ground at both measurement locations)</t>
  </si>
  <si>
    <t>Y_SlpDist</t>
  </si>
  <si>
    <t>Slope distance expressed in feet from the dot located on the face of the Y Witness Tree to the plot center (approx. 1' from ground at both measurement locations)</t>
  </si>
  <si>
    <t>Specific comments made on plots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</si>
</sst>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11"/>
      <name val="Aptos Narrow"/>
      <family val="2"/>
      <scheme val="minor"/>
    </font>
    <font>
      <sz val="8"/>
      <name val="Arial"/>
      <family val="2"/>
    </font>
    <font>
      <b/>
      <sz val="12"/>
      <name val="MS Sans Serif"/>
    </font>
    <font>
      <b/>
      <sz val="8"/>
      <color rgb="FFFF0000"/>
      <name val="MS Sans Serif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FF0000"/>
      </left>
      <right style="thin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medium">
        <color indexed="64"/>
      </bottom>
      <diagonal/>
    </border>
    <border>
      <left style="thin">
        <color theme="2" tint="-0.24994659260841701"/>
      </left>
      <right style="medium">
        <color indexed="64"/>
      </right>
      <top style="thick">
        <color rgb="FFFF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1" fillId="0" borderId="0"/>
  </cellStyleXfs>
  <cellXfs count="84">
    <xf numFmtId="0" fontId="0" fillId="0" borderId="0" xfId="0"/>
    <xf numFmtId="0" fontId="0" fillId="33" borderId="0" xfId="0" applyFill="1"/>
    <xf numFmtId="0" fontId="16" fillId="0" borderId="0" xfId="0" applyFont="1"/>
    <xf numFmtId="0" fontId="16" fillId="33" borderId="0" xfId="0" applyFont="1" applyFill="1"/>
    <xf numFmtId="0" fontId="18" fillId="0" borderId="0" xfId="0" applyFont="1"/>
    <xf numFmtId="0" fontId="18" fillId="0" borderId="10" xfId="42" applyFont="1" applyBorder="1"/>
    <xf numFmtId="0" fontId="20" fillId="0" borderId="0" xfId="0" applyFont="1"/>
    <xf numFmtId="0" fontId="21" fillId="0" borderId="11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16" fillId="34" borderId="13" xfId="0" applyFont="1" applyFill="1" applyBorder="1"/>
    <xf numFmtId="2" fontId="16" fillId="34" borderId="14" xfId="0" applyNumberFormat="1" applyFont="1" applyFill="1" applyBorder="1"/>
    <xf numFmtId="0" fontId="22" fillId="0" borderId="15" xfId="43" applyFont="1" applyBorder="1"/>
    <xf numFmtId="2" fontId="21" fillId="0" borderId="16" xfId="0" applyNumberFormat="1" applyFont="1" applyBorder="1" applyAlignment="1">
      <alignment horizontal="center"/>
    </xf>
    <xf numFmtId="2" fontId="21" fillId="0" borderId="17" xfId="0" applyNumberFormat="1" applyFont="1" applyBorder="1" applyAlignment="1">
      <alignment horizontal="center"/>
    </xf>
    <xf numFmtId="0" fontId="23" fillId="0" borderId="0" xfId="0" applyFont="1"/>
    <xf numFmtId="0" fontId="18" fillId="0" borderId="0" xfId="0" applyFont="1" applyAlignment="1">
      <alignment horizontal="center"/>
    </xf>
    <xf numFmtId="0" fontId="22" fillId="0" borderId="18" xfId="43" applyFont="1" applyBorder="1"/>
    <xf numFmtId="0" fontId="21" fillId="0" borderId="19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22" fillId="35" borderId="18" xfId="43" applyFont="1" applyFill="1" applyBorder="1"/>
    <xf numFmtId="0" fontId="20" fillId="0" borderId="25" xfId="0" applyFont="1" applyBorder="1" applyAlignment="1">
      <alignment horizontal="center"/>
    </xf>
    <xf numFmtId="164" fontId="20" fillId="0" borderId="26" xfId="0" applyNumberFormat="1" applyFont="1" applyBorder="1" applyAlignment="1">
      <alignment horizontal="center"/>
    </xf>
    <xf numFmtId="2" fontId="20" fillId="0" borderId="27" xfId="0" applyNumberFormat="1" applyFont="1" applyBorder="1" applyAlignment="1">
      <alignment horizontal="center"/>
    </xf>
    <xf numFmtId="2" fontId="20" fillId="0" borderId="28" xfId="0" applyNumberFormat="1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64" fontId="1" fillId="0" borderId="30" xfId="0" applyNumberFormat="1" applyFont="1" applyBorder="1" applyAlignment="1">
      <alignment horizontal="center"/>
    </xf>
    <xf numFmtId="0" fontId="24" fillId="0" borderId="31" xfId="0" applyFont="1" applyBorder="1" applyAlignment="1">
      <alignment horizontal="center"/>
    </xf>
    <xf numFmtId="0" fontId="24" fillId="0" borderId="32" xfId="0" applyFont="1" applyBorder="1" applyAlignment="1">
      <alignment horizontal="center"/>
    </xf>
    <xf numFmtId="0" fontId="20" fillId="36" borderId="33" xfId="0" applyFont="1" applyFill="1" applyBorder="1" applyAlignment="1">
      <alignment horizontal="center"/>
    </xf>
    <xf numFmtId="164" fontId="20" fillId="36" borderId="26" xfId="0" applyNumberFormat="1" applyFont="1" applyFill="1" applyBorder="1" applyAlignment="1">
      <alignment horizontal="center"/>
    </xf>
    <xf numFmtId="2" fontId="20" fillId="36" borderId="0" xfId="0" applyNumberFormat="1" applyFont="1" applyFill="1" applyAlignment="1">
      <alignment horizontal="center"/>
    </xf>
    <xf numFmtId="2" fontId="20" fillId="36" borderId="34" xfId="0" applyNumberFormat="1" applyFont="1" applyFill="1" applyBorder="1" applyAlignment="1">
      <alignment horizontal="center"/>
    </xf>
    <xf numFmtId="0" fontId="1" fillId="36" borderId="35" xfId="0" applyFont="1" applyFill="1" applyBorder="1" applyAlignment="1">
      <alignment horizontal="center"/>
    </xf>
    <xf numFmtId="164" fontId="1" fillId="36" borderId="26" xfId="0" applyNumberFormat="1" applyFont="1" applyFill="1" applyBorder="1" applyAlignment="1">
      <alignment horizontal="center"/>
    </xf>
    <xf numFmtId="0" fontId="20" fillId="0" borderId="33" xfId="0" applyFont="1" applyBorder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34" xfId="0" applyNumberFormat="1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164" fontId="1" fillId="0" borderId="26" xfId="0" applyNumberFormat="1" applyFont="1" applyBorder="1" applyAlignment="1">
      <alignment horizontal="center"/>
    </xf>
    <xf numFmtId="0" fontId="24" fillId="0" borderId="36" xfId="0" applyFont="1" applyBorder="1" applyAlignment="1">
      <alignment horizontal="center"/>
    </xf>
    <xf numFmtId="0" fontId="24" fillId="0" borderId="37" xfId="0" applyFont="1" applyBorder="1" applyAlignment="1">
      <alignment horizontal="center"/>
    </xf>
    <xf numFmtId="0" fontId="24" fillId="0" borderId="18" xfId="0" applyFont="1" applyBorder="1"/>
    <xf numFmtId="0" fontId="22" fillId="0" borderId="0" xfId="43" applyFont="1"/>
    <xf numFmtId="0" fontId="1" fillId="0" borderId="38" xfId="0" applyFont="1" applyBorder="1" applyAlignment="1">
      <alignment horizontal="center"/>
    </xf>
    <xf numFmtId="164" fontId="1" fillId="0" borderId="39" xfId="0" applyNumberFormat="1" applyFont="1" applyBorder="1" applyAlignment="1">
      <alignment horizontal="center"/>
    </xf>
    <xf numFmtId="0" fontId="18" fillId="37" borderId="40" xfId="0" applyFont="1" applyFill="1" applyBorder="1"/>
    <xf numFmtId="0" fontId="18" fillId="37" borderId="0" xfId="0" applyFont="1" applyFill="1"/>
    <xf numFmtId="0" fontId="18" fillId="37" borderId="41" xfId="0" applyFont="1" applyFill="1" applyBorder="1"/>
    <xf numFmtId="0" fontId="20" fillId="38" borderId="42" xfId="0" applyFont="1" applyFill="1" applyBorder="1" applyAlignment="1">
      <alignment horizontal="center"/>
    </xf>
    <xf numFmtId="164" fontId="20" fillId="38" borderId="21" xfId="0" applyNumberFormat="1" applyFont="1" applyFill="1" applyBorder="1" applyAlignment="1">
      <alignment horizontal="center"/>
    </xf>
    <xf numFmtId="2" fontId="20" fillId="38" borderId="43" xfId="0" applyNumberFormat="1" applyFont="1" applyFill="1" applyBorder="1" applyAlignment="1">
      <alignment horizontal="center"/>
    </xf>
    <xf numFmtId="2" fontId="20" fillId="38" borderId="44" xfId="0" applyNumberFormat="1" applyFont="1" applyFill="1" applyBorder="1" applyAlignment="1">
      <alignment horizontal="center"/>
    </xf>
    <xf numFmtId="0" fontId="25" fillId="0" borderId="10" xfId="0" applyFont="1" applyBorder="1"/>
    <xf numFmtId="0" fontId="25" fillId="0" borderId="37" xfId="0" applyFont="1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25" xfId="0" applyBorder="1"/>
    <xf numFmtId="0" fontId="0" fillId="0" borderId="48" xfId="0" applyBorder="1"/>
    <xf numFmtId="0" fontId="0" fillId="0" borderId="27" xfId="0" applyBorder="1"/>
    <xf numFmtId="0" fontId="0" fillId="0" borderId="49" xfId="0" applyBorder="1"/>
    <xf numFmtId="0" fontId="0" fillId="0" borderId="28" xfId="0" applyBorder="1"/>
    <xf numFmtId="0" fontId="0" fillId="0" borderId="33" xfId="0" applyBorder="1" applyAlignment="1">
      <alignment horizontal="left" vertical="top"/>
    </xf>
    <xf numFmtId="0" fontId="0" fillId="0" borderId="50" xfId="0" applyBorder="1"/>
    <xf numFmtId="0" fontId="0" fillId="0" borderId="51" xfId="0" applyBorder="1"/>
    <xf numFmtId="0" fontId="0" fillId="0" borderId="34" xfId="0" applyBorder="1"/>
    <xf numFmtId="0" fontId="26" fillId="0" borderId="0" xfId="0" applyFont="1"/>
    <xf numFmtId="0" fontId="26" fillId="0" borderId="51" xfId="0" applyFont="1" applyBorder="1"/>
    <xf numFmtId="0" fontId="26" fillId="0" borderId="34" xfId="0" applyFont="1" applyBorder="1"/>
    <xf numFmtId="0" fontId="0" fillId="0" borderId="52" xfId="0" applyBorder="1"/>
    <xf numFmtId="0" fontId="0" fillId="0" borderId="53" xfId="0" applyBorder="1"/>
    <xf numFmtId="0" fontId="0" fillId="0" borderId="17" xfId="0" applyBorder="1"/>
    <xf numFmtId="0" fontId="0" fillId="0" borderId="54" xfId="0" applyBorder="1" applyAlignment="1">
      <alignment horizontal="left" vertical="top"/>
    </xf>
    <xf numFmtId="0" fontId="0" fillId="0" borderId="55" xfId="0" applyBorder="1"/>
    <xf numFmtId="0" fontId="0" fillId="0" borderId="0" xfId="0" applyAlignment="1">
      <alignment horizontal="left" vertical="top"/>
    </xf>
    <xf numFmtId="0" fontId="25" fillId="0" borderId="19" xfId="0" applyFont="1" applyBorder="1"/>
    <xf numFmtId="0" fontId="0" fillId="0" borderId="25" xfId="0" applyBorder="1" applyAlignment="1">
      <alignment horizontal="left" vertical="top"/>
    </xf>
    <xf numFmtId="0" fontId="0" fillId="0" borderId="33" xfId="0" applyBorder="1"/>
    <xf numFmtId="0" fontId="0" fillId="0" borderId="54" xfId="0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3" xr:uid="{8BA84DC4-2CD0-4EBE-B434-6CDCF2911738}"/>
    <cellStyle name="Normal 4" xfId="42" xr:uid="{6E5743AA-0221-4DF8-B21C-F5AB8D83F9E6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21059</xdr:colOff>
      <xdr:row>12</xdr:row>
      <xdr:rowOff>133350</xdr:rowOff>
    </xdr:from>
    <xdr:to>
      <xdr:col>16</xdr:col>
      <xdr:colOff>9524</xdr:colOff>
      <xdr:row>22</xdr:row>
      <xdr:rowOff>9858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B7C8E7-B38F-4549-8BEB-E7300722C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8079" y="2053590"/>
          <a:ext cx="4385205" cy="14767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0FC3-4B0B-453D-B418-D9EFDDECE95C}">
  <dimension ref="A1:P1204"/>
  <sheetViews>
    <sheetView tabSelected="1" workbookViewId="0">
      <selection activeCell="P4" sqref="P4"/>
    </sheetView>
  </sheetViews>
  <sheetFormatPr defaultRowHeight="14.4" x14ac:dyDescent="0.3"/>
  <cols>
    <col min="1" max="3" width="6.6640625" customWidth="1"/>
    <col min="4" max="4" width="10.44140625" bestFit="1" customWidth="1"/>
    <col min="5" max="5" width="19.21875" bestFit="1" customWidth="1"/>
    <col min="8" max="8" width="9.88671875" bestFit="1" customWidth="1"/>
    <col min="9" max="9" width="10.44140625" bestFit="1" customWidth="1"/>
    <col min="13" max="13" width="8.88671875" style="1"/>
    <col min="14" max="14" width="10" style="1" bestFit="1" customWidth="1"/>
    <col min="16" max="16" width="32.109375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2" t="s">
        <v>14</v>
      </c>
      <c r="P1" s="2" t="s">
        <v>15</v>
      </c>
    </row>
    <row r="2" spans="1:16" x14ac:dyDescent="0.3">
      <c r="A2">
        <v>2018</v>
      </c>
      <c r="B2">
        <v>12</v>
      </c>
      <c r="C2">
        <v>1</v>
      </c>
      <c r="D2" s="1">
        <v>153</v>
      </c>
      <c r="E2" s="1" t="s">
        <v>16</v>
      </c>
      <c r="F2">
        <v>202</v>
      </c>
      <c r="G2">
        <v>1</v>
      </c>
      <c r="J2">
        <v>24.8</v>
      </c>
      <c r="K2">
        <v>90</v>
      </c>
      <c r="M2" s="1">
        <v>79</v>
      </c>
    </row>
    <row r="3" spans="1:16" x14ac:dyDescent="0.3">
      <c r="A3">
        <v>2018</v>
      </c>
      <c r="B3">
        <v>12</v>
      </c>
      <c r="C3">
        <v>2</v>
      </c>
      <c r="D3" s="1">
        <v>154</v>
      </c>
      <c r="E3" s="1" t="s">
        <v>16</v>
      </c>
      <c r="F3">
        <v>202</v>
      </c>
      <c r="G3">
        <v>1</v>
      </c>
      <c r="J3">
        <v>5.4</v>
      </c>
      <c r="K3">
        <v>32</v>
      </c>
      <c r="M3" s="1">
        <v>11</v>
      </c>
    </row>
    <row r="4" spans="1:16" x14ac:dyDescent="0.3">
      <c r="A4">
        <v>2018</v>
      </c>
      <c r="B4">
        <v>12</v>
      </c>
      <c r="C4">
        <v>3</v>
      </c>
      <c r="D4" s="1">
        <v>155</v>
      </c>
      <c r="E4" s="1" t="s">
        <v>16</v>
      </c>
      <c r="F4">
        <v>202</v>
      </c>
      <c r="G4">
        <v>1</v>
      </c>
      <c r="J4">
        <v>7.1</v>
      </c>
      <c r="K4">
        <v>48</v>
      </c>
      <c r="M4" s="1">
        <v>29</v>
      </c>
    </row>
    <row r="5" spans="1:16" x14ac:dyDescent="0.3">
      <c r="A5">
        <v>2018</v>
      </c>
      <c r="B5">
        <v>12</v>
      </c>
      <c r="C5">
        <v>4</v>
      </c>
      <c r="D5" s="1">
        <v>156</v>
      </c>
      <c r="E5" s="1" t="s">
        <v>16</v>
      </c>
      <c r="F5">
        <v>202</v>
      </c>
      <c r="G5">
        <v>1</v>
      </c>
      <c r="J5">
        <v>6.2</v>
      </c>
      <c r="K5">
        <v>42</v>
      </c>
      <c r="M5" s="1">
        <v>15</v>
      </c>
    </row>
    <row r="6" spans="1:16" x14ac:dyDescent="0.3">
      <c r="A6">
        <v>2018</v>
      </c>
      <c r="B6">
        <v>12</v>
      </c>
      <c r="C6">
        <v>5</v>
      </c>
      <c r="D6" s="1">
        <v>157</v>
      </c>
      <c r="E6" s="1" t="s">
        <v>16</v>
      </c>
      <c r="F6">
        <v>202</v>
      </c>
      <c r="G6">
        <v>1</v>
      </c>
      <c r="J6">
        <v>14</v>
      </c>
      <c r="K6">
        <v>64</v>
      </c>
      <c r="M6" s="1">
        <v>52</v>
      </c>
    </row>
    <row r="7" spans="1:16" x14ac:dyDescent="0.3">
      <c r="A7">
        <v>2018</v>
      </c>
      <c r="B7">
        <v>12</v>
      </c>
      <c r="C7">
        <v>6</v>
      </c>
      <c r="D7" s="1">
        <v>158</v>
      </c>
      <c r="E7" s="1" t="s">
        <v>16</v>
      </c>
      <c r="F7">
        <v>202</v>
      </c>
      <c r="G7">
        <v>1</v>
      </c>
      <c r="J7">
        <v>20.9</v>
      </c>
      <c r="K7">
        <v>74</v>
      </c>
      <c r="M7" s="1">
        <v>63</v>
      </c>
      <c r="P7" t="s">
        <v>17</v>
      </c>
    </row>
    <row r="8" spans="1:16" x14ac:dyDescent="0.3">
      <c r="A8">
        <v>2018</v>
      </c>
      <c r="B8">
        <v>12</v>
      </c>
      <c r="C8">
        <v>7</v>
      </c>
      <c r="D8" s="1">
        <v>159</v>
      </c>
      <c r="E8" s="1" t="s">
        <v>16</v>
      </c>
      <c r="F8">
        <v>202</v>
      </c>
      <c r="G8">
        <v>1</v>
      </c>
      <c r="J8">
        <v>13.9</v>
      </c>
      <c r="K8">
        <v>64</v>
      </c>
      <c r="M8" s="1">
        <v>53</v>
      </c>
      <c r="P8" t="s">
        <v>18</v>
      </c>
    </row>
    <row r="9" spans="1:16" x14ac:dyDescent="0.3">
      <c r="A9">
        <v>2018</v>
      </c>
      <c r="B9">
        <v>12</v>
      </c>
      <c r="C9">
        <v>8</v>
      </c>
      <c r="D9" s="1">
        <v>160</v>
      </c>
      <c r="E9" s="1" t="s">
        <v>16</v>
      </c>
      <c r="F9">
        <v>202</v>
      </c>
      <c r="G9">
        <v>1</v>
      </c>
      <c r="J9">
        <v>12.2</v>
      </c>
      <c r="K9">
        <v>64</v>
      </c>
      <c r="M9" s="1">
        <v>55</v>
      </c>
    </row>
    <row r="10" spans="1:16" x14ac:dyDescent="0.3">
      <c r="A10">
        <v>2018</v>
      </c>
      <c r="B10">
        <v>12</v>
      </c>
      <c r="C10">
        <v>9</v>
      </c>
      <c r="D10" s="1">
        <v>161</v>
      </c>
      <c r="E10" s="1" t="s">
        <v>16</v>
      </c>
      <c r="F10">
        <v>202</v>
      </c>
      <c r="G10">
        <v>1</v>
      </c>
      <c r="J10">
        <v>9.9</v>
      </c>
      <c r="K10">
        <v>61</v>
      </c>
      <c r="M10" s="1">
        <v>47</v>
      </c>
    </row>
    <row r="11" spans="1:16" x14ac:dyDescent="0.3">
      <c r="A11">
        <v>2018</v>
      </c>
      <c r="B11">
        <v>12</v>
      </c>
      <c r="C11">
        <v>10</v>
      </c>
      <c r="D11" s="1">
        <v>162</v>
      </c>
      <c r="E11" s="1" t="s">
        <v>16</v>
      </c>
      <c r="F11">
        <v>202</v>
      </c>
      <c r="G11">
        <v>1</v>
      </c>
      <c r="J11">
        <v>8.1999999999999993</v>
      </c>
      <c r="K11">
        <v>54</v>
      </c>
      <c r="M11" s="1">
        <v>42</v>
      </c>
    </row>
    <row r="12" spans="1:16" x14ac:dyDescent="0.3">
      <c r="A12">
        <v>2018</v>
      </c>
      <c r="B12">
        <v>12</v>
      </c>
      <c r="C12">
        <v>11</v>
      </c>
      <c r="D12" s="1">
        <v>163</v>
      </c>
      <c r="E12" s="1" t="s">
        <v>16</v>
      </c>
      <c r="F12">
        <v>202</v>
      </c>
      <c r="G12">
        <v>1</v>
      </c>
      <c r="J12">
        <v>9.4</v>
      </c>
      <c r="K12">
        <v>61</v>
      </c>
      <c r="M12" s="1">
        <v>52</v>
      </c>
    </row>
    <row r="13" spans="1:16" x14ac:dyDescent="0.3">
      <c r="A13">
        <v>2018</v>
      </c>
      <c r="B13">
        <v>12</v>
      </c>
      <c r="C13">
        <v>12</v>
      </c>
      <c r="D13" s="1">
        <v>164</v>
      </c>
      <c r="E13" s="1" t="s">
        <v>16</v>
      </c>
      <c r="F13">
        <v>73</v>
      </c>
      <c r="G13">
        <v>1</v>
      </c>
      <c r="J13">
        <v>9.5</v>
      </c>
      <c r="K13">
        <v>70</v>
      </c>
      <c r="M13" s="1">
        <v>53</v>
      </c>
    </row>
    <row r="14" spans="1:16" x14ac:dyDescent="0.3">
      <c r="A14">
        <v>2018</v>
      </c>
      <c r="B14">
        <v>12</v>
      </c>
      <c r="C14">
        <v>13</v>
      </c>
      <c r="D14" s="1">
        <v>165</v>
      </c>
      <c r="E14" s="1" t="s">
        <v>19</v>
      </c>
      <c r="F14">
        <v>202</v>
      </c>
      <c r="G14">
        <v>1</v>
      </c>
      <c r="J14">
        <v>5.8</v>
      </c>
      <c r="K14">
        <v>51</v>
      </c>
      <c r="M14" s="1">
        <v>37</v>
      </c>
      <c r="P14" t="s">
        <v>20</v>
      </c>
    </row>
    <row r="15" spans="1:16" x14ac:dyDescent="0.3">
      <c r="A15">
        <v>2018</v>
      </c>
      <c r="B15">
        <v>12</v>
      </c>
      <c r="C15">
        <v>14</v>
      </c>
      <c r="D15" s="1">
        <v>166</v>
      </c>
      <c r="E15" s="1" t="s">
        <v>16</v>
      </c>
      <c r="F15">
        <v>202</v>
      </c>
      <c r="G15">
        <v>1</v>
      </c>
      <c r="J15">
        <v>7.1</v>
      </c>
      <c r="K15">
        <v>50</v>
      </c>
      <c r="M15" s="1">
        <v>35</v>
      </c>
      <c r="P15" t="s">
        <v>21</v>
      </c>
    </row>
    <row r="16" spans="1:16" x14ac:dyDescent="0.3">
      <c r="A16">
        <v>2018</v>
      </c>
      <c r="B16">
        <v>12</v>
      </c>
      <c r="C16">
        <v>15</v>
      </c>
      <c r="D16" s="1">
        <v>167</v>
      </c>
      <c r="E16" s="1" t="s">
        <v>16</v>
      </c>
      <c r="F16">
        <v>202</v>
      </c>
      <c r="G16">
        <v>1</v>
      </c>
      <c r="J16">
        <v>10.5</v>
      </c>
      <c r="K16">
        <v>67</v>
      </c>
      <c r="M16" s="1">
        <v>55</v>
      </c>
    </row>
    <row r="17" spans="1:16" x14ac:dyDescent="0.3">
      <c r="A17">
        <v>2018</v>
      </c>
      <c r="B17">
        <v>12</v>
      </c>
      <c r="C17">
        <v>16</v>
      </c>
      <c r="D17" s="1">
        <v>168</v>
      </c>
      <c r="E17" s="1" t="s">
        <v>16</v>
      </c>
      <c r="F17">
        <v>202</v>
      </c>
      <c r="G17">
        <v>1</v>
      </c>
      <c r="J17">
        <v>9.5</v>
      </c>
      <c r="K17">
        <v>59</v>
      </c>
      <c r="M17" s="1">
        <v>48</v>
      </c>
    </row>
    <row r="18" spans="1:16" x14ac:dyDescent="0.3">
      <c r="A18">
        <v>2018</v>
      </c>
      <c r="B18">
        <v>12</v>
      </c>
      <c r="C18">
        <v>17</v>
      </c>
      <c r="D18" s="1">
        <v>169</v>
      </c>
      <c r="E18" s="1" t="s">
        <v>16</v>
      </c>
      <c r="F18">
        <v>202</v>
      </c>
      <c r="G18">
        <v>1</v>
      </c>
      <c r="J18">
        <v>6.3</v>
      </c>
      <c r="K18">
        <v>43</v>
      </c>
      <c r="M18" s="1">
        <v>21</v>
      </c>
    </row>
    <row r="19" spans="1:16" x14ac:dyDescent="0.3">
      <c r="A19">
        <v>2018</v>
      </c>
      <c r="B19">
        <v>12</v>
      </c>
      <c r="C19">
        <v>18</v>
      </c>
      <c r="D19" s="1">
        <v>170</v>
      </c>
      <c r="E19" s="1" t="s">
        <v>16</v>
      </c>
      <c r="F19">
        <v>202</v>
      </c>
      <c r="G19">
        <v>1</v>
      </c>
      <c r="J19">
        <v>6.8</v>
      </c>
      <c r="K19">
        <v>48</v>
      </c>
      <c r="M19" s="1">
        <v>31</v>
      </c>
      <c r="P19" t="s">
        <v>22</v>
      </c>
    </row>
    <row r="20" spans="1:16" x14ac:dyDescent="0.3">
      <c r="A20">
        <v>2018</v>
      </c>
      <c r="B20">
        <v>12</v>
      </c>
      <c r="C20">
        <v>19</v>
      </c>
      <c r="D20" s="1">
        <v>171</v>
      </c>
      <c r="E20" s="1" t="s">
        <v>16</v>
      </c>
      <c r="F20">
        <v>202</v>
      </c>
      <c r="G20">
        <v>1</v>
      </c>
      <c r="J20">
        <v>8.6999999999999993</v>
      </c>
      <c r="K20">
        <v>57</v>
      </c>
      <c r="M20" s="1">
        <v>43</v>
      </c>
      <c r="P20" t="s">
        <v>23</v>
      </c>
    </row>
    <row r="21" spans="1:16" x14ac:dyDescent="0.3">
      <c r="A21">
        <v>2018</v>
      </c>
      <c r="B21">
        <v>12</v>
      </c>
      <c r="C21">
        <v>20</v>
      </c>
      <c r="D21" s="1">
        <v>172</v>
      </c>
      <c r="E21" s="1" t="s">
        <v>24</v>
      </c>
      <c r="F21">
        <v>202</v>
      </c>
      <c r="G21">
        <v>2</v>
      </c>
      <c r="I21">
        <v>1</v>
      </c>
      <c r="J21">
        <v>5.3</v>
      </c>
      <c r="K21">
        <v>42</v>
      </c>
      <c r="M21" s="1">
        <v>13</v>
      </c>
    </row>
    <row r="22" spans="1:16" x14ac:dyDescent="0.3">
      <c r="A22">
        <v>2018</v>
      </c>
      <c r="B22">
        <v>12</v>
      </c>
      <c r="C22">
        <v>21</v>
      </c>
      <c r="D22" s="1">
        <v>173</v>
      </c>
      <c r="E22" s="1" t="s">
        <v>19</v>
      </c>
      <c r="F22">
        <v>202</v>
      </c>
      <c r="G22">
        <v>1</v>
      </c>
      <c r="J22">
        <v>5.6</v>
      </c>
      <c r="K22">
        <v>48</v>
      </c>
      <c r="M22" s="1">
        <v>30</v>
      </c>
    </row>
    <row r="23" spans="1:16" x14ac:dyDescent="0.3">
      <c r="A23">
        <v>2018</v>
      </c>
      <c r="B23">
        <v>12</v>
      </c>
      <c r="C23">
        <v>22</v>
      </c>
      <c r="D23" s="1">
        <v>174</v>
      </c>
      <c r="E23" s="1" t="s">
        <v>25</v>
      </c>
      <c r="F23">
        <v>202</v>
      </c>
      <c r="G23">
        <v>1</v>
      </c>
      <c r="J23">
        <v>7.8</v>
      </c>
      <c r="K23">
        <v>55</v>
      </c>
      <c r="L23">
        <v>28</v>
      </c>
      <c r="M23" s="1">
        <v>39</v>
      </c>
      <c r="N23" s="1">
        <v>6</v>
      </c>
      <c r="P23" t="s">
        <v>26</v>
      </c>
    </row>
    <row r="24" spans="1:16" x14ac:dyDescent="0.3">
      <c r="A24">
        <v>2018</v>
      </c>
      <c r="B24">
        <v>12</v>
      </c>
      <c r="C24">
        <v>23</v>
      </c>
      <c r="D24" s="1">
        <v>175</v>
      </c>
      <c r="E24" s="1" t="s">
        <v>16</v>
      </c>
      <c r="F24">
        <v>202</v>
      </c>
      <c r="G24">
        <v>1</v>
      </c>
      <c r="J24">
        <v>7.7</v>
      </c>
      <c r="K24">
        <v>55</v>
      </c>
      <c r="M24" s="1">
        <v>40</v>
      </c>
    </row>
    <row r="25" spans="1:16" x14ac:dyDescent="0.3">
      <c r="A25">
        <v>2018</v>
      </c>
      <c r="B25">
        <v>12</v>
      </c>
      <c r="C25">
        <v>24</v>
      </c>
      <c r="D25" s="1">
        <v>176</v>
      </c>
      <c r="E25" s="1" t="s">
        <v>16</v>
      </c>
      <c r="F25">
        <v>202</v>
      </c>
      <c r="G25">
        <v>1</v>
      </c>
      <c r="J25">
        <v>6.8</v>
      </c>
      <c r="K25">
        <v>48</v>
      </c>
      <c r="M25" s="1">
        <v>30</v>
      </c>
    </row>
    <row r="26" spans="1:16" x14ac:dyDescent="0.3">
      <c r="A26">
        <v>2018</v>
      </c>
      <c r="B26">
        <v>12</v>
      </c>
      <c r="C26">
        <v>25</v>
      </c>
      <c r="D26" s="1">
        <v>177</v>
      </c>
      <c r="E26" s="1" t="s">
        <v>25</v>
      </c>
      <c r="F26">
        <v>202</v>
      </c>
      <c r="G26">
        <v>1</v>
      </c>
      <c r="J26">
        <v>7.1</v>
      </c>
      <c r="K26">
        <v>54</v>
      </c>
      <c r="L26">
        <v>20</v>
      </c>
      <c r="M26" s="1">
        <v>35</v>
      </c>
      <c r="N26" s="1">
        <v>5</v>
      </c>
      <c r="P26" t="s">
        <v>27</v>
      </c>
    </row>
    <row r="27" spans="1:16" x14ac:dyDescent="0.3">
      <c r="A27">
        <v>2018</v>
      </c>
      <c r="B27">
        <v>12</v>
      </c>
      <c r="C27">
        <v>26</v>
      </c>
      <c r="D27" s="1">
        <v>178</v>
      </c>
      <c r="E27" s="1" t="s">
        <v>19</v>
      </c>
      <c r="F27">
        <v>202</v>
      </c>
      <c r="G27">
        <v>1</v>
      </c>
      <c r="J27">
        <v>6.7</v>
      </c>
      <c r="K27">
        <v>52</v>
      </c>
      <c r="L27">
        <v>13</v>
      </c>
      <c r="M27" s="1">
        <v>35</v>
      </c>
      <c r="N27" s="1">
        <v>5</v>
      </c>
      <c r="P27" t="s">
        <v>28</v>
      </c>
    </row>
    <row r="28" spans="1:16" x14ac:dyDescent="0.3">
      <c r="A28">
        <v>2018</v>
      </c>
      <c r="B28">
        <v>12</v>
      </c>
      <c r="C28">
        <v>27</v>
      </c>
      <c r="D28" s="1">
        <v>179</v>
      </c>
      <c r="E28" s="1" t="s">
        <v>19</v>
      </c>
      <c r="F28">
        <v>202</v>
      </c>
      <c r="G28">
        <v>1</v>
      </c>
      <c r="J28">
        <v>7.8</v>
      </c>
      <c r="K28">
        <v>56</v>
      </c>
      <c r="M28" s="1">
        <v>41</v>
      </c>
      <c r="P28" t="s">
        <v>29</v>
      </c>
    </row>
    <row r="29" spans="1:16" x14ac:dyDescent="0.3">
      <c r="A29">
        <v>2018</v>
      </c>
      <c r="B29">
        <v>12</v>
      </c>
      <c r="C29">
        <v>28</v>
      </c>
      <c r="D29" s="1">
        <v>180</v>
      </c>
      <c r="E29" s="1" t="s">
        <v>16</v>
      </c>
      <c r="F29">
        <v>202</v>
      </c>
      <c r="G29">
        <v>1</v>
      </c>
      <c r="J29">
        <v>5.2</v>
      </c>
      <c r="K29">
        <v>33</v>
      </c>
      <c r="M29" s="1">
        <v>11</v>
      </c>
    </row>
    <row r="30" spans="1:16" x14ac:dyDescent="0.3">
      <c r="A30">
        <v>2018</v>
      </c>
      <c r="B30">
        <v>12</v>
      </c>
      <c r="C30">
        <v>29</v>
      </c>
      <c r="D30" s="1">
        <v>181</v>
      </c>
      <c r="E30" s="1" t="s">
        <v>16</v>
      </c>
      <c r="F30">
        <v>202</v>
      </c>
      <c r="G30">
        <v>1</v>
      </c>
      <c r="J30">
        <v>8.1999999999999993</v>
      </c>
      <c r="K30">
        <v>53</v>
      </c>
      <c r="M30" s="1">
        <v>37</v>
      </c>
    </row>
    <row r="31" spans="1:16" x14ac:dyDescent="0.3">
      <c r="A31">
        <v>2018</v>
      </c>
      <c r="B31">
        <v>12</v>
      </c>
      <c r="C31">
        <v>30</v>
      </c>
      <c r="D31" s="1">
        <v>182</v>
      </c>
      <c r="E31" s="1" t="s">
        <v>19</v>
      </c>
      <c r="F31">
        <v>202</v>
      </c>
      <c r="G31">
        <v>1</v>
      </c>
      <c r="J31">
        <v>8</v>
      </c>
      <c r="K31">
        <v>52</v>
      </c>
      <c r="L31">
        <v>15</v>
      </c>
      <c r="M31" s="1">
        <v>34</v>
      </c>
      <c r="N31" s="1">
        <v>6</v>
      </c>
      <c r="P31" t="s">
        <v>27</v>
      </c>
    </row>
    <row r="32" spans="1:16" x14ac:dyDescent="0.3">
      <c r="A32">
        <v>2018</v>
      </c>
      <c r="B32">
        <v>12</v>
      </c>
      <c r="C32">
        <v>31</v>
      </c>
      <c r="D32" s="1">
        <v>183</v>
      </c>
      <c r="E32" s="1" t="s">
        <v>16</v>
      </c>
      <c r="F32">
        <v>202</v>
      </c>
      <c r="G32">
        <v>1</v>
      </c>
      <c r="J32">
        <v>11.5</v>
      </c>
      <c r="K32">
        <v>62</v>
      </c>
      <c r="M32" s="1">
        <v>51</v>
      </c>
    </row>
    <row r="33" spans="1:16" x14ac:dyDescent="0.3">
      <c r="A33">
        <v>2018</v>
      </c>
      <c r="B33">
        <v>12</v>
      </c>
      <c r="C33">
        <v>32</v>
      </c>
      <c r="D33" s="1">
        <v>184</v>
      </c>
      <c r="E33" s="1" t="s">
        <v>16</v>
      </c>
      <c r="F33">
        <v>202</v>
      </c>
      <c r="G33">
        <v>1</v>
      </c>
      <c r="J33">
        <v>11.7</v>
      </c>
      <c r="K33">
        <v>63</v>
      </c>
      <c r="M33" s="1">
        <v>50</v>
      </c>
    </row>
    <row r="34" spans="1:16" x14ac:dyDescent="0.3">
      <c r="A34">
        <v>2018</v>
      </c>
      <c r="B34">
        <v>12</v>
      </c>
      <c r="C34">
        <v>33</v>
      </c>
      <c r="D34" s="1">
        <v>185</v>
      </c>
      <c r="E34" s="1" t="s">
        <v>16</v>
      </c>
      <c r="F34">
        <v>202</v>
      </c>
      <c r="G34">
        <v>1</v>
      </c>
      <c r="J34">
        <v>8.3000000000000007</v>
      </c>
      <c r="K34">
        <v>50</v>
      </c>
      <c r="M34" s="1">
        <v>32</v>
      </c>
    </row>
    <row r="35" spans="1:16" x14ac:dyDescent="0.3">
      <c r="A35">
        <v>2018</v>
      </c>
      <c r="B35">
        <v>12</v>
      </c>
      <c r="C35">
        <v>34</v>
      </c>
      <c r="D35" s="1">
        <v>186</v>
      </c>
      <c r="E35" s="1" t="s">
        <v>16</v>
      </c>
      <c r="F35">
        <v>202</v>
      </c>
      <c r="G35">
        <v>1</v>
      </c>
      <c r="J35">
        <v>5.7</v>
      </c>
      <c r="K35">
        <v>43</v>
      </c>
      <c r="M35" s="1">
        <v>17</v>
      </c>
    </row>
    <row r="36" spans="1:16" x14ac:dyDescent="0.3">
      <c r="A36">
        <v>2018</v>
      </c>
      <c r="B36">
        <v>12</v>
      </c>
      <c r="C36">
        <v>35</v>
      </c>
      <c r="D36" s="1">
        <v>187</v>
      </c>
      <c r="E36" s="1" t="s">
        <v>16</v>
      </c>
      <c r="F36">
        <v>202</v>
      </c>
      <c r="G36">
        <v>1</v>
      </c>
      <c r="J36">
        <v>13.3</v>
      </c>
      <c r="K36">
        <v>69</v>
      </c>
      <c r="M36" s="1">
        <v>59</v>
      </c>
    </row>
    <row r="37" spans="1:16" x14ac:dyDescent="0.3">
      <c r="A37">
        <v>2018</v>
      </c>
      <c r="B37">
        <v>20</v>
      </c>
      <c r="C37">
        <v>1</v>
      </c>
      <c r="D37" s="1">
        <v>295</v>
      </c>
      <c r="E37" s="1" t="s">
        <v>16</v>
      </c>
      <c r="F37">
        <v>202</v>
      </c>
      <c r="G37">
        <v>1</v>
      </c>
      <c r="J37">
        <v>11.1</v>
      </c>
      <c r="K37">
        <v>68</v>
      </c>
      <c r="L37">
        <v>50</v>
      </c>
      <c r="M37" s="1">
        <v>54</v>
      </c>
      <c r="N37" s="1">
        <v>5</v>
      </c>
      <c r="P37" t="s">
        <v>30</v>
      </c>
    </row>
    <row r="38" spans="1:16" x14ac:dyDescent="0.3">
      <c r="A38">
        <v>2018</v>
      </c>
      <c r="B38">
        <v>20</v>
      </c>
      <c r="C38">
        <v>2</v>
      </c>
      <c r="D38" s="1">
        <v>296</v>
      </c>
      <c r="E38" s="1" t="s">
        <v>16</v>
      </c>
      <c r="F38">
        <v>202</v>
      </c>
      <c r="G38">
        <v>1</v>
      </c>
      <c r="J38">
        <v>9.1</v>
      </c>
      <c r="K38">
        <v>65</v>
      </c>
      <c r="M38" s="1">
        <v>49</v>
      </c>
    </row>
    <row r="39" spans="1:16" x14ac:dyDescent="0.3">
      <c r="A39">
        <v>2018</v>
      </c>
      <c r="B39">
        <v>20</v>
      </c>
      <c r="C39">
        <v>3</v>
      </c>
      <c r="D39" s="1">
        <v>297</v>
      </c>
      <c r="E39" s="1" t="s">
        <v>25</v>
      </c>
      <c r="F39">
        <v>73</v>
      </c>
      <c r="G39">
        <v>1</v>
      </c>
      <c r="J39">
        <v>6.4</v>
      </c>
      <c r="K39">
        <v>48</v>
      </c>
      <c r="M39" s="1">
        <v>24</v>
      </c>
    </row>
    <row r="40" spans="1:16" x14ac:dyDescent="0.3">
      <c r="A40">
        <v>2018</v>
      </c>
      <c r="B40">
        <v>20</v>
      </c>
      <c r="C40">
        <v>4</v>
      </c>
      <c r="D40" s="1">
        <v>298</v>
      </c>
      <c r="E40" s="1" t="s">
        <v>16</v>
      </c>
      <c r="F40">
        <v>202</v>
      </c>
      <c r="G40">
        <v>1</v>
      </c>
      <c r="J40">
        <v>20</v>
      </c>
      <c r="K40">
        <v>71</v>
      </c>
      <c r="M40" s="1">
        <v>64</v>
      </c>
      <c r="O40">
        <v>1</v>
      </c>
    </row>
    <row r="41" spans="1:16" x14ac:dyDescent="0.3">
      <c r="A41">
        <v>2018</v>
      </c>
      <c r="B41">
        <v>20</v>
      </c>
      <c r="C41">
        <v>5</v>
      </c>
      <c r="D41" s="1">
        <v>299</v>
      </c>
      <c r="E41" s="1" t="s">
        <v>16</v>
      </c>
      <c r="F41">
        <v>73</v>
      </c>
      <c r="G41">
        <v>1</v>
      </c>
      <c r="J41">
        <v>6.2</v>
      </c>
      <c r="K41">
        <v>36</v>
      </c>
      <c r="M41" s="1">
        <v>18</v>
      </c>
      <c r="P41" t="s">
        <v>31</v>
      </c>
    </row>
    <row r="42" spans="1:16" x14ac:dyDescent="0.3">
      <c r="A42">
        <v>2018</v>
      </c>
      <c r="B42">
        <v>20</v>
      </c>
      <c r="C42">
        <v>6</v>
      </c>
      <c r="D42" s="1">
        <v>300</v>
      </c>
      <c r="E42" s="1" t="s">
        <v>16</v>
      </c>
      <c r="F42">
        <v>73</v>
      </c>
      <c r="G42">
        <v>1</v>
      </c>
      <c r="J42">
        <v>7.2</v>
      </c>
      <c r="K42">
        <v>68</v>
      </c>
      <c r="M42" s="1">
        <v>47</v>
      </c>
    </row>
    <row r="43" spans="1:16" x14ac:dyDescent="0.3">
      <c r="A43">
        <v>2018</v>
      </c>
      <c r="B43">
        <v>20</v>
      </c>
      <c r="C43">
        <v>7</v>
      </c>
      <c r="D43" s="1">
        <v>301</v>
      </c>
      <c r="E43" s="1" t="s">
        <v>16</v>
      </c>
      <c r="F43">
        <v>73</v>
      </c>
      <c r="G43">
        <v>1</v>
      </c>
      <c r="J43">
        <v>6.3</v>
      </c>
      <c r="K43">
        <v>51</v>
      </c>
      <c r="M43" s="1">
        <v>30</v>
      </c>
    </row>
    <row r="44" spans="1:16" x14ac:dyDescent="0.3">
      <c r="A44">
        <v>2018</v>
      </c>
      <c r="B44">
        <v>20</v>
      </c>
      <c r="C44">
        <v>8</v>
      </c>
      <c r="D44" s="1">
        <v>302</v>
      </c>
      <c r="E44" s="1" t="s">
        <v>16</v>
      </c>
      <c r="F44">
        <v>73</v>
      </c>
      <c r="G44">
        <v>1</v>
      </c>
      <c r="J44">
        <v>8.6</v>
      </c>
      <c r="K44">
        <v>73</v>
      </c>
      <c r="M44" s="1">
        <v>54</v>
      </c>
    </row>
    <row r="45" spans="1:16" x14ac:dyDescent="0.3">
      <c r="A45">
        <v>2018</v>
      </c>
      <c r="B45">
        <v>20</v>
      </c>
      <c r="C45">
        <v>9</v>
      </c>
      <c r="D45" s="1">
        <v>303</v>
      </c>
      <c r="E45" s="1" t="s">
        <v>16</v>
      </c>
      <c r="F45">
        <v>202</v>
      </c>
      <c r="G45">
        <v>1</v>
      </c>
      <c r="J45">
        <v>10.9</v>
      </c>
      <c r="K45">
        <v>66</v>
      </c>
      <c r="M45" s="1">
        <v>49</v>
      </c>
    </row>
    <row r="46" spans="1:16" x14ac:dyDescent="0.3">
      <c r="A46">
        <v>2018</v>
      </c>
      <c r="B46">
        <v>20</v>
      </c>
      <c r="C46">
        <v>10</v>
      </c>
      <c r="D46" s="1">
        <v>304</v>
      </c>
      <c r="E46" s="1" t="s">
        <v>16</v>
      </c>
      <c r="F46">
        <v>202</v>
      </c>
      <c r="G46">
        <v>1</v>
      </c>
      <c r="J46">
        <v>9.3000000000000007</v>
      </c>
      <c r="K46">
        <v>47</v>
      </c>
      <c r="M46" s="1">
        <v>28</v>
      </c>
      <c r="P46" t="s">
        <v>32</v>
      </c>
    </row>
    <row r="47" spans="1:16" x14ac:dyDescent="0.3">
      <c r="A47">
        <v>2018</v>
      </c>
      <c r="B47">
        <v>20</v>
      </c>
      <c r="C47">
        <v>11</v>
      </c>
      <c r="D47" s="1">
        <v>305</v>
      </c>
      <c r="E47" s="1" t="s">
        <v>16</v>
      </c>
      <c r="F47">
        <v>73</v>
      </c>
      <c r="G47">
        <v>1</v>
      </c>
      <c r="J47">
        <v>8.6999999999999993</v>
      </c>
      <c r="K47">
        <v>66</v>
      </c>
      <c r="M47" s="1">
        <v>51</v>
      </c>
    </row>
    <row r="48" spans="1:16" x14ac:dyDescent="0.3">
      <c r="A48">
        <v>2018</v>
      </c>
      <c r="B48">
        <v>20</v>
      </c>
      <c r="C48">
        <v>12</v>
      </c>
      <c r="D48" s="1">
        <v>306</v>
      </c>
      <c r="E48" s="1" t="s">
        <v>16</v>
      </c>
      <c r="F48">
        <v>202</v>
      </c>
      <c r="G48">
        <v>1</v>
      </c>
      <c r="J48">
        <v>11.7</v>
      </c>
      <c r="K48">
        <v>60</v>
      </c>
      <c r="M48" s="1">
        <v>50</v>
      </c>
      <c r="P48" t="s">
        <v>33</v>
      </c>
    </row>
    <row r="49" spans="1:16" x14ac:dyDescent="0.3">
      <c r="A49">
        <v>2018</v>
      </c>
      <c r="B49">
        <v>20</v>
      </c>
      <c r="C49">
        <v>13</v>
      </c>
      <c r="D49" s="1">
        <v>307</v>
      </c>
      <c r="E49" s="1" t="s">
        <v>16</v>
      </c>
      <c r="F49">
        <v>73</v>
      </c>
      <c r="G49">
        <v>1</v>
      </c>
      <c r="J49">
        <v>7.1</v>
      </c>
      <c r="K49">
        <v>57</v>
      </c>
      <c r="M49" s="1">
        <v>31</v>
      </c>
    </row>
    <row r="50" spans="1:16" x14ac:dyDescent="0.3">
      <c r="A50">
        <v>2018</v>
      </c>
      <c r="B50">
        <v>20</v>
      </c>
      <c r="C50">
        <v>14</v>
      </c>
      <c r="D50" s="1">
        <v>308</v>
      </c>
      <c r="E50" s="1" t="s">
        <v>16</v>
      </c>
      <c r="F50">
        <v>202</v>
      </c>
      <c r="G50">
        <v>1</v>
      </c>
      <c r="J50">
        <v>7.8</v>
      </c>
      <c r="K50">
        <v>52</v>
      </c>
      <c r="M50" s="1">
        <v>33</v>
      </c>
    </row>
    <row r="51" spans="1:16" x14ac:dyDescent="0.3">
      <c r="A51">
        <v>2018</v>
      </c>
      <c r="B51">
        <v>20</v>
      </c>
      <c r="C51">
        <v>15</v>
      </c>
      <c r="D51" s="1">
        <v>309</v>
      </c>
      <c r="E51" s="1" t="s">
        <v>16</v>
      </c>
      <c r="F51">
        <v>202</v>
      </c>
      <c r="G51">
        <v>1</v>
      </c>
      <c r="J51">
        <v>12.7</v>
      </c>
      <c r="K51">
        <v>77</v>
      </c>
      <c r="M51" s="1">
        <v>67</v>
      </c>
    </row>
    <row r="52" spans="1:16" x14ac:dyDescent="0.3">
      <c r="A52">
        <v>2018</v>
      </c>
      <c r="B52">
        <v>20</v>
      </c>
      <c r="C52">
        <v>16</v>
      </c>
      <c r="D52" s="1">
        <v>310</v>
      </c>
      <c r="E52" s="1" t="s">
        <v>16</v>
      </c>
      <c r="F52">
        <v>202</v>
      </c>
      <c r="G52">
        <v>1</v>
      </c>
      <c r="J52">
        <v>13.5</v>
      </c>
      <c r="K52">
        <v>77</v>
      </c>
      <c r="M52" s="1">
        <v>66</v>
      </c>
    </row>
    <row r="53" spans="1:16" x14ac:dyDescent="0.3">
      <c r="A53">
        <v>2018</v>
      </c>
      <c r="B53">
        <v>20</v>
      </c>
      <c r="C53">
        <v>17</v>
      </c>
      <c r="D53" s="1">
        <v>311</v>
      </c>
      <c r="E53" s="1" t="s">
        <v>16</v>
      </c>
      <c r="F53">
        <v>202</v>
      </c>
      <c r="G53">
        <v>1</v>
      </c>
      <c r="J53">
        <v>17.399999999999999</v>
      </c>
      <c r="K53">
        <v>84</v>
      </c>
      <c r="M53" s="1">
        <v>71</v>
      </c>
    </row>
    <row r="54" spans="1:16" x14ac:dyDescent="0.3">
      <c r="A54">
        <v>2018</v>
      </c>
      <c r="B54">
        <v>20</v>
      </c>
      <c r="C54">
        <v>18</v>
      </c>
      <c r="D54" s="1">
        <v>312</v>
      </c>
      <c r="E54" s="1" t="s">
        <v>16</v>
      </c>
      <c r="F54">
        <v>202</v>
      </c>
      <c r="G54">
        <v>1</v>
      </c>
      <c r="J54">
        <v>6.6</v>
      </c>
      <c r="K54">
        <v>37</v>
      </c>
      <c r="M54" s="1">
        <v>17</v>
      </c>
    </row>
    <row r="55" spans="1:16" x14ac:dyDescent="0.3">
      <c r="A55">
        <v>2018</v>
      </c>
      <c r="B55">
        <v>20</v>
      </c>
      <c r="C55">
        <v>19</v>
      </c>
      <c r="D55" s="1">
        <v>313</v>
      </c>
      <c r="E55" s="1" t="s">
        <v>16</v>
      </c>
      <c r="F55">
        <v>73</v>
      </c>
      <c r="G55">
        <v>1</v>
      </c>
      <c r="J55">
        <v>9.8000000000000007</v>
      </c>
      <c r="K55">
        <v>79</v>
      </c>
      <c r="M55" s="1">
        <v>60</v>
      </c>
    </row>
    <row r="56" spans="1:16" x14ac:dyDescent="0.3">
      <c r="A56">
        <v>2018</v>
      </c>
      <c r="B56">
        <v>20</v>
      </c>
      <c r="C56">
        <v>20</v>
      </c>
      <c r="D56" s="1">
        <v>314</v>
      </c>
      <c r="E56" s="1" t="s">
        <v>16</v>
      </c>
      <c r="F56">
        <v>202</v>
      </c>
      <c r="G56">
        <v>1</v>
      </c>
      <c r="J56">
        <v>8.6999999999999993</v>
      </c>
      <c r="K56">
        <v>53</v>
      </c>
      <c r="M56" s="1">
        <v>35</v>
      </c>
      <c r="P56" t="s">
        <v>33</v>
      </c>
    </row>
    <row r="57" spans="1:16" x14ac:dyDescent="0.3">
      <c r="A57">
        <v>2018</v>
      </c>
      <c r="B57">
        <v>20</v>
      </c>
      <c r="C57">
        <v>21</v>
      </c>
      <c r="D57" s="1">
        <v>315</v>
      </c>
      <c r="E57" s="1" t="s">
        <v>16</v>
      </c>
      <c r="F57">
        <v>202</v>
      </c>
      <c r="G57">
        <v>1</v>
      </c>
      <c r="J57">
        <v>20.5</v>
      </c>
      <c r="K57">
        <v>73</v>
      </c>
      <c r="M57" s="1">
        <v>60</v>
      </c>
      <c r="P57" t="s">
        <v>33</v>
      </c>
    </row>
    <row r="58" spans="1:16" x14ac:dyDescent="0.3">
      <c r="A58">
        <v>2018</v>
      </c>
      <c r="B58">
        <v>20</v>
      </c>
      <c r="C58">
        <v>22</v>
      </c>
      <c r="D58" s="1">
        <v>316</v>
      </c>
      <c r="E58" s="1" t="s">
        <v>34</v>
      </c>
      <c r="F58">
        <v>73</v>
      </c>
      <c r="G58">
        <v>2</v>
      </c>
      <c r="I58">
        <v>2</v>
      </c>
      <c r="J58">
        <v>5.2</v>
      </c>
      <c r="K58">
        <v>37</v>
      </c>
      <c r="M58" s="1">
        <v>12</v>
      </c>
    </row>
    <row r="59" spans="1:16" x14ac:dyDescent="0.3">
      <c r="A59">
        <v>2018</v>
      </c>
      <c r="B59">
        <v>20</v>
      </c>
      <c r="C59">
        <v>23</v>
      </c>
      <c r="D59" s="1">
        <v>317</v>
      </c>
      <c r="E59" s="1" t="s">
        <v>34</v>
      </c>
      <c r="F59">
        <v>73</v>
      </c>
      <c r="G59">
        <v>2</v>
      </c>
      <c r="I59">
        <v>1</v>
      </c>
      <c r="J59">
        <v>5.8</v>
      </c>
      <c r="K59">
        <v>43</v>
      </c>
      <c r="M59" s="1">
        <v>19</v>
      </c>
    </row>
    <row r="60" spans="1:16" x14ac:dyDescent="0.3">
      <c r="A60">
        <v>2018</v>
      </c>
      <c r="B60">
        <v>20</v>
      </c>
      <c r="C60">
        <v>24</v>
      </c>
      <c r="D60" s="1">
        <v>318</v>
      </c>
      <c r="E60" s="1" t="s">
        <v>16</v>
      </c>
      <c r="F60">
        <v>202</v>
      </c>
      <c r="G60">
        <v>1</v>
      </c>
      <c r="J60">
        <v>12</v>
      </c>
      <c r="K60">
        <v>78</v>
      </c>
      <c r="M60" s="1">
        <v>63</v>
      </c>
    </row>
    <row r="61" spans="1:16" x14ac:dyDescent="0.3">
      <c r="A61">
        <v>2018</v>
      </c>
      <c r="B61">
        <v>20</v>
      </c>
      <c r="C61">
        <v>25</v>
      </c>
      <c r="D61" s="1">
        <v>319</v>
      </c>
      <c r="E61" s="1" t="s">
        <v>16</v>
      </c>
      <c r="F61">
        <v>202</v>
      </c>
      <c r="G61">
        <v>1</v>
      </c>
      <c r="J61">
        <v>14.1</v>
      </c>
      <c r="K61">
        <v>81</v>
      </c>
      <c r="M61" s="1">
        <v>70</v>
      </c>
    </row>
    <row r="62" spans="1:16" x14ac:dyDescent="0.3">
      <c r="A62">
        <v>2018</v>
      </c>
      <c r="B62">
        <v>20</v>
      </c>
      <c r="C62">
        <v>26</v>
      </c>
      <c r="D62" s="1">
        <v>320</v>
      </c>
      <c r="E62" s="1" t="s">
        <v>16</v>
      </c>
      <c r="F62">
        <v>73</v>
      </c>
      <c r="G62">
        <v>1</v>
      </c>
      <c r="J62">
        <v>10.199999999999999</v>
      </c>
      <c r="K62">
        <v>73</v>
      </c>
      <c r="M62" s="1">
        <v>56</v>
      </c>
    </row>
    <row r="63" spans="1:16" x14ac:dyDescent="0.3">
      <c r="A63">
        <v>2018</v>
      </c>
      <c r="B63">
        <v>20</v>
      </c>
      <c r="C63">
        <v>27</v>
      </c>
      <c r="D63" s="1">
        <v>321</v>
      </c>
      <c r="E63" s="1" t="s">
        <v>25</v>
      </c>
      <c r="F63">
        <v>202</v>
      </c>
      <c r="G63">
        <v>1</v>
      </c>
      <c r="J63">
        <v>5.7</v>
      </c>
      <c r="K63">
        <v>30</v>
      </c>
      <c r="M63" s="1">
        <v>17</v>
      </c>
      <c r="O63">
        <v>1</v>
      </c>
    </row>
    <row r="64" spans="1:16" x14ac:dyDescent="0.3">
      <c r="A64">
        <v>2018</v>
      </c>
      <c r="B64">
        <v>28</v>
      </c>
      <c r="C64">
        <v>1</v>
      </c>
      <c r="D64" s="1">
        <v>441</v>
      </c>
      <c r="E64" s="1" t="s">
        <v>16</v>
      </c>
      <c r="F64">
        <v>73</v>
      </c>
      <c r="G64">
        <v>1</v>
      </c>
      <c r="J64">
        <v>9</v>
      </c>
      <c r="K64">
        <v>65</v>
      </c>
      <c r="M64" s="1">
        <v>51</v>
      </c>
    </row>
    <row r="65" spans="1:13" x14ac:dyDescent="0.3">
      <c r="A65">
        <v>2018</v>
      </c>
      <c r="B65">
        <v>28</v>
      </c>
      <c r="C65">
        <v>2</v>
      </c>
      <c r="D65" s="1">
        <v>442</v>
      </c>
      <c r="E65" s="1" t="s">
        <v>35</v>
      </c>
      <c r="F65">
        <v>73</v>
      </c>
      <c r="G65">
        <v>1</v>
      </c>
      <c r="J65">
        <v>5.4</v>
      </c>
      <c r="K65">
        <v>49</v>
      </c>
      <c r="M65" s="1">
        <v>28</v>
      </c>
    </row>
    <row r="66" spans="1:13" x14ac:dyDescent="0.3">
      <c r="A66">
        <v>2018</v>
      </c>
      <c r="B66">
        <v>28</v>
      </c>
      <c r="C66">
        <v>3</v>
      </c>
      <c r="D66" s="1">
        <v>443</v>
      </c>
      <c r="E66" s="1" t="s">
        <v>35</v>
      </c>
      <c r="F66">
        <v>73</v>
      </c>
      <c r="G66">
        <v>1</v>
      </c>
      <c r="J66">
        <v>6.1</v>
      </c>
      <c r="K66">
        <v>53</v>
      </c>
      <c r="M66" s="1">
        <v>39</v>
      </c>
    </row>
    <row r="67" spans="1:13" x14ac:dyDescent="0.3">
      <c r="A67">
        <v>2018</v>
      </c>
      <c r="B67">
        <v>28</v>
      </c>
      <c r="C67">
        <v>4</v>
      </c>
      <c r="D67" s="1">
        <v>444</v>
      </c>
      <c r="E67" s="1" t="s">
        <v>35</v>
      </c>
      <c r="F67">
        <v>73</v>
      </c>
      <c r="G67">
        <v>1</v>
      </c>
      <c r="J67">
        <v>5.7</v>
      </c>
      <c r="K67">
        <v>55</v>
      </c>
      <c r="M67" s="1">
        <v>33</v>
      </c>
    </row>
    <row r="68" spans="1:13" x14ac:dyDescent="0.3">
      <c r="A68">
        <v>2018</v>
      </c>
      <c r="B68">
        <v>28</v>
      </c>
      <c r="C68">
        <v>5</v>
      </c>
      <c r="D68" s="1">
        <v>445</v>
      </c>
      <c r="E68" s="1" t="s">
        <v>35</v>
      </c>
      <c r="F68">
        <v>202</v>
      </c>
      <c r="G68">
        <v>1</v>
      </c>
      <c r="J68">
        <v>5.6</v>
      </c>
      <c r="K68">
        <v>39</v>
      </c>
      <c r="M68" s="1">
        <v>21</v>
      </c>
    </row>
    <row r="69" spans="1:13" x14ac:dyDescent="0.3">
      <c r="A69">
        <v>2018</v>
      </c>
      <c r="B69">
        <v>28</v>
      </c>
      <c r="C69">
        <v>6</v>
      </c>
      <c r="D69" s="1">
        <v>446</v>
      </c>
      <c r="E69" s="1" t="s">
        <v>35</v>
      </c>
      <c r="F69">
        <v>73</v>
      </c>
      <c r="G69">
        <v>1</v>
      </c>
      <c r="J69">
        <v>6</v>
      </c>
      <c r="K69">
        <v>56</v>
      </c>
      <c r="M69" s="1">
        <v>37</v>
      </c>
    </row>
    <row r="70" spans="1:13" x14ac:dyDescent="0.3">
      <c r="A70">
        <v>2018</v>
      </c>
      <c r="B70">
        <v>28</v>
      </c>
      <c r="C70">
        <v>7</v>
      </c>
      <c r="D70" s="1">
        <v>447</v>
      </c>
      <c r="E70" s="1" t="s">
        <v>16</v>
      </c>
      <c r="F70">
        <v>73</v>
      </c>
      <c r="G70">
        <v>1</v>
      </c>
      <c r="J70">
        <v>5.2</v>
      </c>
      <c r="K70">
        <v>51</v>
      </c>
      <c r="M70" s="1">
        <v>16</v>
      </c>
    </row>
    <row r="71" spans="1:13" x14ac:dyDescent="0.3">
      <c r="A71">
        <v>2018</v>
      </c>
      <c r="B71">
        <v>28</v>
      </c>
      <c r="C71">
        <v>8</v>
      </c>
      <c r="D71" s="1">
        <v>448</v>
      </c>
      <c r="E71" s="1" t="s">
        <v>35</v>
      </c>
      <c r="F71">
        <v>73</v>
      </c>
      <c r="G71">
        <v>1</v>
      </c>
      <c r="J71">
        <v>5.5</v>
      </c>
      <c r="K71">
        <v>45</v>
      </c>
      <c r="M71" s="1">
        <v>17</v>
      </c>
    </row>
    <row r="72" spans="1:13" x14ac:dyDescent="0.3">
      <c r="A72">
        <v>2018</v>
      </c>
      <c r="B72">
        <v>28</v>
      </c>
      <c r="C72">
        <v>9</v>
      </c>
      <c r="D72" s="1">
        <v>449</v>
      </c>
      <c r="E72" s="1" t="s">
        <v>16</v>
      </c>
      <c r="F72">
        <v>73</v>
      </c>
      <c r="G72">
        <v>1</v>
      </c>
      <c r="J72">
        <v>8.5</v>
      </c>
      <c r="K72">
        <v>65</v>
      </c>
      <c r="M72" s="1">
        <v>52</v>
      </c>
    </row>
    <row r="73" spans="1:13" x14ac:dyDescent="0.3">
      <c r="A73">
        <v>2018</v>
      </c>
      <c r="B73">
        <v>28</v>
      </c>
      <c r="C73">
        <v>10</v>
      </c>
      <c r="D73" s="1">
        <v>450</v>
      </c>
      <c r="E73" s="1" t="s">
        <v>16</v>
      </c>
      <c r="F73">
        <v>73</v>
      </c>
      <c r="G73">
        <v>1</v>
      </c>
      <c r="J73">
        <v>10.7</v>
      </c>
      <c r="K73">
        <v>69</v>
      </c>
      <c r="M73" s="1">
        <v>53</v>
      </c>
    </row>
    <row r="74" spans="1:13" x14ac:dyDescent="0.3">
      <c r="A74">
        <v>2018</v>
      </c>
      <c r="B74">
        <v>28</v>
      </c>
      <c r="C74">
        <v>11</v>
      </c>
      <c r="D74" s="1">
        <v>451</v>
      </c>
      <c r="E74" s="1" t="s">
        <v>16</v>
      </c>
      <c r="F74">
        <v>73</v>
      </c>
      <c r="G74">
        <v>1</v>
      </c>
      <c r="J74">
        <v>9.6</v>
      </c>
      <c r="K74">
        <v>68</v>
      </c>
      <c r="M74" s="1">
        <v>51</v>
      </c>
    </row>
    <row r="75" spans="1:13" x14ac:dyDescent="0.3">
      <c r="A75">
        <v>2018</v>
      </c>
      <c r="B75">
        <v>28</v>
      </c>
      <c r="C75">
        <v>12</v>
      </c>
      <c r="D75" s="1">
        <v>452</v>
      </c>
      <c r="E75" s="1" t="s">
        <v>16</v>
      </c>
      <c r="F75">
        <v>73</v>
      </c>
      <c r="G75">
        <v>1</v>
      </c>
      <c r="J75">
        <v>10</v>
      </c>
      <c r="K75">
        <v>67</v>
      </c>
      <c r="M75" s="1">
        <v>51</v>
      </c>
    </row>
    <row r="76" spans="1:13" x14ac:dyDescent="0.3">
      <c r="A76">
        <v>2018</v>
      </c>
      <c r="B76">
        <v>28</v>
      </c>
      <c r="C76">
        <v>13</v>
      </c>
      <c r="D76" s="1">
        <v>453</v>
      </c>
      <c r="E76" s="1" t="s">
        <v>35</v>
      </c>
      <c r="F76">
        <v>73</v>
      </c>
      <c r="G76">
        <v>1</v>
      </c>
      <c r="J76">
        <v>5.6</v>
      </c>
      <c r="K76">
        <v>41</v>
      </c>
      <c r="M76" s="1">
        <v>15</v>
      </c>
    </row>
    <row r="77" spans="1:13" x14ac:dyDescent="0.3">
      <c r="A77">
        <v>2018</v>
      </c>
      <c r="B77">
        <v>28</v>
      </c>
      <c r="C77">
        <v>14</v>
      </c>
      <c r="D77" s="1">
        <v>454</v>
      </c>
      <c r="E77" s="1" t="s">
        <v>35</v>
      </c>
      <c r="F77">
        <v>73</v>
      </c>
      <c r="G77">
        <v>1</v>
      </c>
      <c r="J77">
        <v>5.8</v>
      </c>
      <c r="K77">
        <v>46</v>
      </c>
      <c r="M77" s="1">
        <v>18</v>
      </c>
    </row>
    <row r="78" spans="1:13" x14ac:dyDescent="0.3">
      <c r="A78">
        <v>2018</v>
      </c>
      <c r="B78">
        <v>28</v>
      </c>
      <c r="C78">
        <v>15</v>
      </c>
      <c r="D78" s="1">
        <v>455</v>
      </c>
      <c r="E78" s="1" t="s">
        <v>16</v>
      </c>
      <c r="F78">
        <v>73</v>
      </c>
      <c r="G78">
        <v>1</v>
      </c>
      <c r="J78">
        <v>7.5</v>
      </c>
      <c r="K78">
        <v>47</v>
      </c>
      <c r="M78" s="1">
        <v>31</v>
      </c>
    </row>
    <row r="79" spans="1:13" x14ac:dyDescent="0.3">
      <c r="A79">
        <v>2018</v>
      </c>
      <c r="B79">
        <v>28</v>
      </c>
      <c r="C79">
        <v>16</v>
      </c>
      <c r="D79" s="1">
        <v>456</v>
      </c>
      <c r="E79" s="1" t="s">
        <v>16</v>
      </c>
      <c r="F79">
        <v>73</v>
      </c>
      <c r="G79">
        <v>1</v>
      </c>
      <c r="J79">
        <v>9.5</v>
      </c>
      <c r="K79">
        <v>64</v>
      </c>
      <c r="M79" s="1">
        <v>49</v>
      </c>
    </row>
    <row r="80" spans="1:13" x14ac:dyDescent="0.3">
      <c r="A80">
        <v>2018</v>
      </c>
      <c r="B80">
        <v>28</v>
      </c>
      <c r="C80">
        <v>17</v>
      </c>
      <c r="D80" s="1">
        <v>457</v>
      </c>
      <c r="E80" s="1" t="s">
        <v>16</v>
      </c>
      <c r="F80">
        <v>73</v>
      </c>
      <c r="G80">
        <v>1</v>
      </c>
      <c r="J80">
        <v>7</v>
      </c>
      <c r="K80">
        <v>51</v>
      </c>
      <c r="M80" s="1">
        <v>28</v>
      </c>
    </row>
    <row r="81" spans="1:13" x14ac:dyDescent="0.3">
      <c r="A81">
        <v>2018</v>
      </c>
      <c r="B81">
        <v>28</v>
      </c>
      <c r="C81">
        <v>18</v>
      </c>
      <c r="D81" s="1">
        <v>458</v>
      </c>
      <c r="E81" s="1" t="s">
        <v>35</v>
      </c>
      <c r="F81">
        <v>202</v>
      </c>
      <c r="G81">
        <v>1</v>
      </c>
      <c r="J81">
        <v>16.600000000000001</v>
      </c>
      <c r="K81">
        <v>67</v>
      </c>
      <c r="M81" s="1">
        <v>55</v>
      </c>
    </row>
    <row r="82" spans="1:13" x14ac:dyDescent="0.3">
      <c r="A82">
        <v>2018</v>
      </c>
      <c r="B82">
        <v>28</v>
      </c>
      <c r="C82">
        <v>19</v>
      </c>
      <c r="D82" s="1">
        <v>459</v>
      </c>
      <c r="E82" s="1" t="s">
        <v>16</v>
      </c>
      <c r="F82">
        <v>202</v>
      </c>
      <c r="G82">
        <v>1</v>
      </c>
      <c r="J82">
        <v>10.5</v>
      </c>
      <c r="K82">
        <v>51</v>
      </c>
      <c r="M82" s="1">
        <v>35</v>
      </c>
    </row>
    <row r="83" spans="1:13" x14ac:dyDescent="0.3">
      <c r="A83">
        <v>2018</v>
      </c>
      <c r="B83">
        <v>28</v>
      </c>
      <c r="C83">
        <v>20</v>
      </c>
      <c r="D83" s="1">
        <v>460</v>
      </c>
      <c r="E83" s="1" t="s">
        <v>16</v>
      </c>
      <c r="F83">
        <v>73</v>
      </c>
      <c r="G83">
        <v>1</v>
      </c>
      <c r="J83">
        <v>12.4</v>
      </c>
      <c r="K83">
        <v>67</v>
      </c>
      <c r="M83" s="1">
        <v>53</v>
      </c>
    </row>
    <row r="84" spans="1:13" x14ac:dyDescent="0.3">
      <c r="A84">
        <v>2018</v>
      </c>
      <c r="B84">
        <v>28</v>
      </c>
      <c r="C84">
        <v>21</v>
      </c>
      <c r="D84" s="1">
        <v>461</v>
      </c>
      <c r="E84" s="1" t="s">
        <v>16</v>
      </c>
      <c r="F84">
        <v>202</v>
      </c>
      <c r="G84">
        <v>1</v>
      </c>
      <c r="J84">
        <v>15.6</v>
      </c>
      <c r="K84">
        <v>69</v>
      </c>
      <c r="M84" s="1">
        <v>54</v>
      </c>
    </row>
    <row r="85" spans="1:13" x14ac:dyDescent="0.3">
      <c r="A85">
        <v>2018</v>
      </c>
      <c r="B85">
        <v>28</v>
      </c>
      <c r="C85">
        <v>22</v>
      </c>
      <c r="D85" s="1">
        <v>462</v>
      </c>
      <c r="E85" s="1" t="s">
        <v>16</v>
      </c>
      <c r="F85">
        <v>73</v>
      </c>
      <c r="G85">
        <v>1</v>
      </c>
      <c r="J85">
        <v>4.3</v>
      </c>
    </row>
    <row r="86" spans="1:13" x14ac:dyDescent="0.3">
      <c r="A86">
        <v>2018</v>
      </c>
      <c r="B86">
        <v>28</v>
      </c>
      <c r="C86">
        <v>23</v>
      </c>
      <c r="D86" s="1">
        <v>463</v>
      </c>
      <c r="E86" s="1" t="s">
        <v>36</v>
      </c>
      <c r="F86">
        <v>202</v>
      </c>
      <c r="G86">
        <v>1</v>
      </c>
      <c r="J86">
        <v>3</v>
      </c>
    </row>
    <row r="87" spans="1:13" x14ac:dyDescent="0.3">
      <c r="A87">
        <v>2018</v>
      </c>
      <c r="B87">
        <v>38</v>
      </c>
      <c r="C87">
        <v>1</v>
      </c>
      <c r="D87" s="1">
        <v>557</v>
      </c>
      <c r="E87" s="1" t="s">
        <v>16</v>
      </c>
      <c r="F87">
        <v>202</v>
      </c>
      <c r="G87">
        <v>1</v>
      </c>
      <c r="J87">
        <v>21.2</v>
      </c>
      <c r="K87">
        <v>83</v>
      </c>
      <c r="M87" s="1">
        <v>72</v>
      </c>
    </row>
    <row r="88" spans="1:13" x14ac:dyDescent="0.3">
      <c r="A88">
        <v>2018</v>
      </c>
      <c r="B88">
        <v>38</v>
      </c>
      <c r="C88">
        <v>2</v>
      </c>
      <c r="D88" s="1">
        <v>558</v>
      </c>
      <c r="E88" s="1" t="s">
        <v>16</v>
      </c>
      <c r="F88">
        <v>122</v>
      </c>
      <c r="G88">
        <v>1</v>
      </c>
      <c r="J88">
        <v>19.8</v>
      </c>
      <c r="K88">
        <v>78</v>
      </c>
      <c r="M88" s="1">
        <v>67</v>
      </c>
    </row>
    <row r="89" spans="1:13" x14ac:dyDescent="0.3">
      <c r="A89">
        <v>2018</v>
      </c>
      <c r="B89">
        <v>38</v>
      </c>
      <c r="C89">
        <v>3</v>
      </c>
      <c r="D89" s="1">
        <v>559</v>
      </c>
      <c r="E89" s="1" t="s">
        <v>16</v>
      </c>
      <c r="F89">
        <v>202</v>
      </c>
      <c r="G89">
        <v>1</v>
      </c>
      <c r="J89">
        <v>7.4</v>
      </c>
      <c r="K89">
        <v>45</v>
      </c>
      <c r="M89" s="1">
        <v>25</v>
      </c>
    </row>
    <row r="90" spans="1:13" x14ac:dyDescent="0.3">
      <c r="A90">
        <v>2018</v>
      </c>
      <c r="B90">
        <v>38</v>
      </c>
      <c r="C90">
        <v>4</v>
      </c>
      <c r="D90" s="1">
        <v>560</v>
      </c>
      <c r="E90" s="1" t="s">
        <v>16</v>
      </c>
      <c r="F90">
        <v>202</v>
      </c>
      <c r="G90">
        <v>1</v>
      </c>
      <c r="J90">
        <v>8.8000000000000007</v>
      </c>
      <c r="K90">
        <v>43</v>
      </c>
      <c r="M90" s="1">
        <v>31</v>
      </c>
    </row>
    <row r="91" spans="1:13" x14ac:dyDescent="0.3">
      <c r="A91">
        <v>2018</v>
      </c>
      <c r="B91">
        <v>38</v>
      </c>
      <c r="C91">
        <v>5</v>
      </c>
      <c r="D91" s="1">
        <v>561</v>
      </c>
      <c r="E91" s="1" t="s">
        <v>16</v>
      </c>
      <c r="F91">
        <v>122</v>
      </c>
      <c r="G91">
        <v>1</v>
      </c>
      <c r="J91">
        <v>20.100000000000001</v>
      </c>
      <c r="K91">
        <v>82</v>
      </c>
      <c r="M91" s="1">
        <v>72</v>
      </c>
    </row>
    <row r="92" spans="1:13" x14ac:dyDescent="0.3">
      <c r="A92">
        <v>2018</v>
      </c>
      <c r="B92">
        <v>38</v>
      </c>
      <c r="C92">
        <v>6</v>
      </c>
      <c r="D92" s="1">
        <v>562</v>
      </c>
      <c r="E92" s="1" t="s">
        <v>24</v>
      </c>
      <c r="F92">
        <v>108</v>
      </c>
      <c r="G92">
        <v>2</v>
      </c>
      <c r="I92">
        <v>1</v>
      </c>
      <c r="J92">
        <v>12.9</v>
      </c>
      <c r="K92">
        <v>60</v>
      </c>
      <c r="M92" s="1">
        <v>47</v>
      </c>
    </row>
    <row r="93" spans="1:13" x14ac:dyDescent="0.3">
      <c r="A93">
        <v>2018</v>
      </c>
      <c r="B93">
        <v>38</v>
      </c>
      <c r="C93">
        <v>7</v>
      </c>
      <c r="D93" s="1">
        <v>563</v>
      </c>
      <c r="E93" s="1" t="s">
        <v>16</v>
      </c>
      <c r="F93">
        <v>202</v>
      </c>
      <c r="G93">
        <v>1</v>
      </c>
      <c r="J93">
        <v>12.2</v>
      </c>
      <c r="K93">
        <v>70</v>
      </c>
      <c r="M93" s="1">
        <v>57</v>
      </c>
    </row>
    <row r="94" spans="1:13" x14ac:dyDescent="0.3">
      <c r="A94">
        <v>2018</v>
      </c>
      <c r="B94">
        <v>38</v>
      </c>
      <c r="C94">
        <v>8</v>
      </c>
      <c r="D94" s="1">
        <v>564</v>
      </c>
      <c r="E94" s="1" t="s">
        <v>16</v>
      </c>
      <c r="F94">
        <v>202</v>
      </c>
      <c r="G94">
        <v>1</v>
      </c>
      <c r="J94">
        <v>22.4</v>
      </c>
      <c r="K94">
        <v>84</v>
      </c>
      <c r="M94" s="1">
        <v>76</v>
      </c>
    </row>
    <row r="95" spans="1:13" x14ac:dyDescent="0.3">
      <c r="A95">
        <v>2018</v>
      </c>
      <c r="B95">
        <v>38</v>
      </c>
      <c r="C95">
        <v>9</v>
      </c>
      <c r="D95" s="1">
        <v>565</v>
      </c>
      <c r="E95" s="1" t="s">
        <v>16</v>
      </c>
      <c r="F95">
        <v>202</v>
      </c>
      <c r="G95">
        <v>1</v>
      </c>
      <c r="J95">
        <v>17.399999999999999</v>
      </c>
      <c r="K95">
        <v>82</v>
      </c>
      <c r="M95" s="1">
        <v>69</v>
      </c>
    </row>
    <row r="96" spans="1:13" x14ac:dyDescent="0.3">
      <c r="A96">
        <v>2018</v>
      </c>
      <c r="B96">
        <v>42</v>
      </c>
      <c r="C96">
        <v>1</v>
      </c>
      <c r="D96" s="1">
        <v>576</v>
      </c>
      <c r="E96" s="1" t="s">
        <v>16</v>
      </c>
      <c r="F96">
        <v>202</v>
      </c>
      <c r="G96">
        <v>1</v>
      </c>
      <c r="J96">
        <v>6.6</v>
      </c>
      <c r="K96">
        <v>35</v>
      </c>
      <c r="M96" s="1">
        <v>15</v>
      </c>
    </row>
    <row r="97" spans="1:16" x14ac:dyDescent="0.3">
      <c r="A97">
        <v>2018</v>
      </c>
      <c r="B97">
        <v>57</v>
      </c>
      <c r="C97">
        <v>1</v>
      </c>
      <c r="D97" s="1">
        <v>722</v>
      </c>
      <c r="E97" s="1" t="s">
        <v>16</v>
      </c>
      <c r="F97">
        <v>202</v>
      </c>
      <c r="G97">
        <v>1</v>
      </c>
      <c r="J97">
        <v>13.5</v>
      </c>
      <c r="K97">
        <v>72</v>
      </c>
      <c r="M97" s="1">
        <v>59</v>
      </c>
    </row>
    <row r="98" spans="1:16" x14ac:dyDescent="0.3">
      <c r="A98">
        <v>2018</v>
      </c>
      <c r="B98">
        <v>57</v>
      </c>
      <c r="C98">
        <v>2</v>
      </c>
      <c r="D98" s="1">
        <v>723</v>
      </c>
      <c r="E98" s="1" t="s">
        <v>16</v>
      </c>
      <c r="F98">
        <v>122</v>
      </c>
      <c r="G98">
        <v>1</v>
      </c>
      <c r="J98">
        <v>14</v>
      </c>
      <c r="K98">
        <v>78</v>
      </c>
      <c r="M98" s="1">
        <v>66</v>
      </c>
    </row>
    <row r="99" spans="1:16" x14ac:dyDescent="0.3">
      <c r="A99">
        <v>2018</v>
      </c>
      <c r="B99">
        <v>57</v>
      </c>
      <c r="C99">
        <v>3</v>
      </c>
      <c r="D99" s="1">
        <v>724</v>
      </c>
      <c r="E99" s="1" t="s">
        <v>16</v>
      </c>
      <c r="F99">
        <v>122</v>
      </c>
      <c r="G99">
        <v>1</v>
      </c>
      <c r="J99">
        <v>11.1</v>
      </c>
      <c r="K99">
        <v>71</v>
      </c>
      <c r="M99" s="1">
        <v>59</v>
      </c>
    </row>
    <row r="100" spans="1:16" x14ac:dyDescent="0.3">
      <c r="A100">
        <v>2018</v>
      </c>
      <c r="B100">
        <v>57</v>
      </c>
      <c r="C100">
        <v>4</v>
      </c>
      <c r="D100" s="1">
        <v>725</v>
      </c>
      <c r="E100" s="1" t="s">
        <v>16</v>
      </c>
      <c r="F100">
        <v>122</v>
      </c>
      <c r="G100">
        <v>1</v>
      </c>
      <c r="J100">
        <v>13.5</v>
      </c>
      <c r="K100">
        <v>78</v>
      </c>
      <c r="M100" s="1">
        <v>64</v>
      </c>
    </row>
    <row r="101" spans="1:16" x14ac:dyDescent="0.3">
      <c r="A101">
        <v>2018</v>
      </c>
      <c r="B101">
        <v>57</v>
      </c>
      <c r="C101">
        <v>5</v>
      </c>
      <c r="D101" s="1">
        <v>726</v>
      </c>
      <c r="E101" s="1" t="s">
        <v>16</v>
      </c>
      <c r="F101">
        <v>122</v>
      </c>
      <c r="G101">
        <v>1</v>
      </c>
      <c r="J101">
        <v>15</v>
      </c>
      <c r="K101">
        <v>80</v>
      </c>
      <c r="M101" s="1">
        <v>66</v>
      </c>
    </row>
    <row r="102" spans="1:16" x14ac:dyDescent="0.3">
      <c r="A102">
        <v>2018</v>
      </c>
      <c r="B102">
        <v>57</v>
      </c>
      <c r="C102">
        <v>6</v>
      </c>
      <c r="D102" s="1">
        <v>727</v>
      </c>
      <c r="E102" s="1" t="s">
        <v>16</v>
      </c>
      <c r="F102">
        <v>202</v>
      </c>
      <c r="G102">
        <v>1</v>
      </c>
      <c r="J102">
        <v>12.6</v>
      </c>
      <c r="K102">
        <v>61</v>
      </c>
      <c r="M102" s="1">
        <v>46</v>
      </c>
    </row>
    <row r="103" spans="1:16" x14ac:dyDescent="0.3">
      <c r="A103">
        <v>2018</v>
      </c>
      <c r="B103">
        <v>57</v>
      </c>
      <c r="C103">
        <v>7</v>
      </c>
      <c r="D103" s="1">
        <v>728</v>
      </c>
      <c r="E103" s="1" t="s">
        <v>16</v>
      </c>
      <c r="F103">
        <v>202</v>
      </c>
      <c r="G103">
        <v>1</v>
      </c>
      <c r="J103">
        <v>12.3</v>
      </c>
      <c r="K103">
        <v>66</v>
      </c>
      <c r="M103" s="1">
        <v>55</v>
      </c>
      <c r="P103" t="s">
        <v>37</v>
      </c>
    </row>
    <row r="104" spans="1:16" x14ac:dyDescent="0.3">
      <c r="A104">
        <v>2018</v>
      </c>
      <c r="B104">
        <v>57</v>
      </c>
      <c r="C104">
        <v>8</v>
      </c>
      <c r="D104" s="1">
        <v>729</v>
      </c>
      <c r="E104" s="1" t="s">
        <v>16</v>
      </c>
      <c r="F104">
        <v>122</v>
      </c>
      <c r="G104">
        <v>1</v>
      </c>
      <c r="J104">
        <v>9.8000000000000007</v>
      </c>
      <c r="K104">
        <v>66</v>
      </c>
      <c r="M104" s="1">
        <v>50</v>
      </c>
    </row>
    <row r="105" spans="1:16" x14ac:dyDescent="0.3">
      <c r="A105">
        <v>2018</v>
      </c>
      <c r="B105">
        <v>57</v>
      </c>
      <c r="C105">
        <v>9</v>
      </c>
      <c r="D105" s="1">
        <v>730</v>
      </c>
      <c r="E105" s="1" t="s">
        <v>16</v>
      </c>
      <c r="F105">
        <v>122</v>
      </c>
      <c r="G105">
        <v>1</v>
      </c>
      <c r="J105">
        <v>18</v>
      </c>
      <c r="K105">
        <v>78</v>
      </c>
      <c r="M105" s="1">
        <v>62</v>
      </c>
    </row>
    <row r="106" spans="1:16" x14ac:dyDescent="0.3">
      <c r="A106">
        <v>2018</v>
      </c>
      <c r="B106">
        <v>57</v>
      </c>
      <c r="C106">
        <v>10</v>
      </c>
      <c r="D106" s="1">
        <v>731</v>
      </c>
      <c r="E106" s="1" t="s">
        <v>16</v>
      </c>
      <c r="F106">
        <v>122</v>
      </c>
      <c r="G106">
        <v>1</v>
      </c>
      <c r="J106">
        <v>1</v>
      </c>
    </row>
    <row r="107" spans="1:16" x14ac:dyDescent="0.3">
      <c r="A107">
        <v>2018</v>
      </c>
      <c r="B107">
        <v>57</v>
      </c>
      <c r="C107">
        <v>11</v>
      </c>
      <c r="D107" s="1">
        <v>732</v>
      </c>
      <c r="E107" s="1" t="s">
        <v>16</v>
      </c>
      <c r="F107">
        <v>122</v>
      </c>
      <c r="G107">
        <v>1</v>
      </c>
      <c r="J107">
        <v>2.6</v>
      </c>
    </row>
    <row r="108" spans="1:16" x14ac:dyDescent="0.3">
      <c r="A108">
        <v>2018</v>
      </c>
      <c r="B108">
        <v>57</v>
      </c>
      <c r="C108">
        <v>12</v>
      </c>
      <c r="D108" s="1">
        <v>733</v>
      </c>
      <c r="E108" s="1" t="s">
        <v>16</v>
      </c>
      <c r="F108">
        <v>122</v>
      </c>
      <c r="G108">
        <v>1</v>
      </c>
      <c r="J108">
        <v>1.8</v>
      </c>
    </row>
    <row r="109" spans="1:16" x14ac:dyDescent="0.3">
      <c r="A109">
        <v>2018</v>
      </c>
      <c r="B109">
        <v>57</v>
      </c>
      <c r="C109">
        <v>13</v>
      </c>
      <c r="D109" s="1">
        <v>734</v>
      </c>
      <c r="E109" s="1" t="s">
        <v>16</v>
      </c>
      <c r="F109">
        <v>122</v>
      </c>
      <c r="G109">
        <v>1</v>
      </c>
      <c r="J109">
        <v>2.6</v>
      </c>
      <c r="P109" t="s">
        <v>38</v>
      </c>
    </row>
    <row r="110" spans="1:16" x14ac:dyDescent="0.3">
      <c r="A110">
        <v>2018</v>
      </c>
      <c r="B110">
        <v>57</v>
      </c>
      <c r="C110">
        <v>14</v>
      </c>
      <c r="D110" s="1">
        <v>735</v>
      </c>
      <c r="E110" s="1" t="s">
        <v>16</v>
      </c>
      <c r="F110">
        <v>202</v>
      </c>
      <c r="G110">
        <v>1</v>
      </c>
      <c r="J110">
        <v>1.6</v>
      </c>
    </row>
    <row r="111" spans="1:16" x14ac:dyDescent="0.3">
      <c r="A111">
        <v>2018</v>
      </c>
      <c r="B111">
        <v>57</v>
      </c>
      <c r="C111">
        <v>15</v>
      </c>
      <c r="D111" s="1">
        <v>736</v>
      </c>
      <c r="E111" s="1" t="s">
        <v>16</v>
      </c>
      <c r="F111">
        <v>122</v>
      </c>
      <c r="G111">
        <v>1</v>
      </c>
      <c r="J111">
        <v>1.1000000000000001</v>
      </c>
    </row>
    <row r="112" spans="1:16" x14ac:dyDescent="0.3">
      <c r="A112">
        <v>2018</v>
      </c>
      <c r="B112">
        <v>57</v>
      </c>
      <c r="C112">
        <v>16</v>
      </c>
      <c r="D112" s="1">
        <v>737</v>
      </c>
      <c r="E112" s="1" t="s">
        <v>16</v>
      </c>
      <c r="F112">
        <v>202</v>
      </c>
      <c r="G112">
        <v>1</v>
      </c>
      <c r="J112">
        <v>1.5</v>
      </c>
    </row>
    <row r="113" spans="1:16" x14ac:dyDescent="0.3">
      <c r="A113">
        <v>2018</v>
      </c>
      <c r="B113">
        <v>57</v>
      </c>
      <c r="C113">
        <v>17</v>
      </c>
      <c r="D113" s="1">
        <v>738</v>
      </c>
      <c r="E113" s="1" t="s">
        <v>16</v>
      </c>
      <c r="F113">
        <v>202</v>
      </c>
      <c r="G113">
        <v>1</v>
      </c>
      <c r="J113">
        <v>1.4</v>
      </c>
    </row>
    <row r="114" spans="1:16" x14ac:dyDescent="0.3">
      <c r="A114">
        <v>2018</v>
      </c>
      <c r="B114">
        <v>57</v>
      </c>
      <c r="C114">
        <v>18</v>
      </c>
      <c r="D114" s="1">
        <v>739</v>
      </c>
      <c r="E114" s="1" t="s">
        <v>16</v>
      </c>
      <c r="F114">
        <v>202</v>
      </c>
      <c r="G114">
        <v>1</v>
      </c>
      <c r="J114">
        <v>1.8</v>
      </c>
    </row>
    <row r="115" spans="1:16" x14ac:dyDescent="0.3">
      <c r="A115">
        <v>2018</v>
      </c>
      <c r="B115">
        <v>57</v>
      </c>
      <c r="C115">
        <v>19</v>
      </c>
      <c r="D115" s="1">
        <v>740</v>
      </c>
      <c r="E115" s="1" t="s">
        <v>16</v>
      </c>
      <c r="F115">
        <v>202</v>
      </c>
      <c r="G115">
        <v>1</v>
      </c>
      <c r="J115">
        <v>1.3</v>
      </c>
    </row>
    <row r="116" spans="1:16" x14ac:dyDescent="0.3">
      <c r="A116">
        <v>2018</v>
      </c>
      <c r="B116">
        <v>57</v>
      </c>
      <c r="C116">
        <v>20</v>
      </c>
      <c r="D116" s="1">
        <v>741</v>
      </c>
      <c r="E116" s="1" t="s">
        <v>16</v>
      </c>
      <c r="F116">
        <v>122</v>
      </c>
      <c r="G116">
        <v>1</v>
      </c>
      <c r="J116">
        <v>2.4</v>
      </c>
    </row>
    <row r="117" spans="1:16" x14ac:dyDescent="0.3">
      <c r="A117">
        <v>2018</v>
      </c>
      <c r="B117">
        <v>57</v>
      </c>
      <c r="C117">
        <v>21</v>
      </c>
      <c r="D117" s="1">
        <v>742</v>
      </c>
      <c r="E117" s="1" t="s">
        <v>19</v>
      </c>
      <c r="F117">
        <v>122</v>
      </c>
      <c r="G117">
        <v>1</v>
      </c>
      <c r="J117">
        <v>1.7</v>
      </c>
    </row>
    <row r="118" spans="1:16" x14ac:dyDescent="0.3">
      <c r="A118">
        <v>2018</v>
      </c>
      <c r="B118">
        <v>57</v>
      </c>
      <c r="C118">
        <v>22</v>
      </c>
      <c r="D118" s="1">
        <v>743</v>
      </c>
      <c r="E118" s="1" t="s">
        <v>16</v>
      </c>
      <c r="F118">
        <v>202</v>
      </c>
      <c r="G118">
        <v>1</v>
      </c>
      <c r="J118">
        <v>1.4</v>
      </c>
      <c r="P118" t="s">
        <v>39</v>
      </c>
    </row>
    <row r="119" spans="1:16" x14ac:dyDescent="0.3">
      <c r="A119">
        <v>2018</v>
      </c>
      <c r="B119">
        <v>57</v>
      </c>
      <c r="C119">
        <v>23</v>
      </c>
      <c r="D119" s="1">
        <v>744</v>
      </c>
      <c r="E119" s="1" t="s">
        <v>16</v>
      </c>
      <c r="F119">
        <v>202</v>
      </c>
      <c r="G119">
        <v>1</v>
      </c>
      <c r="J119">
        <v>1.2</v>
      </c>
      <c r="P119" t="s">
        <v>39</v>
      </c>
    </row>
    <row r="120" spans="1:16" x14ac:dyDescent="0.3">
      <c r="A120">
        <v>2018</v>
      </c>
      <c r="B120">
        <v>57</v>
      </c>
      <c r="C120">
        <v>24</v>
      </c>
      <c r="D120" s="1">
        <v>745</v>
      </c>
      <c r="E120" s="1" t="s">
        <v>16</v>
      </c>
      <c r="F120">
        <v>122</v>
      </c>
      <c r="G120">
        <v>1</v>
      </c>
      <c r="J120">
        <v>1.7</v>
      </c>
    </row>
    <row r="121" spans="1:16" x14ac:dyDescent="0.3">
      <c r="A121">
        <v>2018</v>
      </c>
      <c r="B121">
        <v>57</v>
      </c>
      <c r="C121">
        <v>25</v>
      </c>
      <c r="D121" s="1">
        <v>746</v>
      </c>
      <c r="E121" s="1" t="s">
        <v>16</v>
      </c>
      <c r="F121">
        <v>122</v>
      </c>
      <c r="G121">
        <v>1</v>
      </c>
      <c r="J121">
        <v>1.1000000000000001</v>
      </c>
    </row>
    <row r="122" spans="1:16" x14ac:dyDescent="0.3">
      <c r="A122">
        <v>2018</v>
      </c>
      <c r="B122">
        <v>57</v>
      </c>
      <c r="C122">
        <v>26</v>
      </c>
      <c r="D122" s="1">
        <v>747</v>
      </c>
      <c r="E122" s="1" t="s">
        <v>16</v>
      </c>
      <c r="F122">
        <v>122</v>
      </c>
      <c r="G122">
        <v>1</v>
      </c>
      <c r="J122">
        <v>1.3</v>
      </c>
    </row>
    <row r="123" spans="1:16" x14ac:dyDescent="0.3">
      <c r="A123">
        <v>2018</v>
      </c>
      <c r="B123">
        <v>57</v>
      </c>
      <c r="C123">
        <v>27</v>
      </c>
      <c r="D123" s="1">
        <v>748</v>
      </c>
      <c r="E123" s="1" t="s">
        <v>16</v>
      </c>
      <c r="F123">
        <v>122</v>
      </c>
      <c r="G123">
        <v>1</v>
      </c>
      <c r="J123">
        <v>2.5</v>
      </c>
    </row>
    <row r="124" spans="1:16" x14ac:dyDescent="0.3">
      <c r="A124">
        <v>2018</v>
      </c>
      <c r="B124">
        <v>57</v>
      </c>
      <c r="C124">
        <v>28</v>
      </c>
      <c r="D124" s="1">
        <v>749</v>
      </c>
      <c r="E124" s="1" t="s">
        <v>16</v>
      </c>
      <c r="F124">
        <v>122</v>
      </c>
      <c r="G124">
        <v>1</v>
      </c>
      <c r="J124">
        <v>2.1</v>
      </c>
    </row>
    <row r="125" spans="1:16" x14ac:dyDescent="0.3">
      <c r="A125">
        <v>2018</v>
      </c>
      <c r="B125">
        <v>57</v>
      </c>
      <c r="C125">
        <v>29</v>
      </c>
      <c r="D125" s="1">
        <v>750</v>
      </c>
      <c r="E125" s="1" t="s">
        <v>16</v>
      </c>
      <c r="F125">
        <v>122</v>
      </c>
      <c r="G125">
        <v>1</v>
      </c>
      <c r="J125">
        <v>1.3</v>
      </c>
      <c r="P125" t="s">
        <v>40</v>
      </c>
    </row>
    <row r="126" spans="1:16" x14ac:dyDescent="0.3">
      <c r="A126">
        <v>2018</v>
      </c>
      <c r="B126">
        <v>70</v>
      </c>
      <c r="C126">
        <v>1</v>
      </c>
      <c r="D126" s="1">
        <v>934</v>
      </c>
      <c r="E126" s="1" t="s">
        <v>16</v>
      </c>
      <c r="F126">
        <v>122</v>
      </c>
      <c r="G126">
        <v>1</v>
      </c>
      <c r="J126">
        <v>7.3</v>
      </c>
      <c r="K126">
        <v>37</v>
      </c>
      <c r="M126" s="1">
        <v>25</v>
      </c>
    </row>
    <row r="127" spans="1:16" x14ac:dyDescent="0.3">
      <c r="A127">
        <v>2018</v>
      </c>
      <c r="B127">
        <v>70</v>
      </c>
      <c r="C127">
        <v>2</v>
      </c>
      <c r="D127" s="1">
        <v>935</v>
      </c>
      <c r="E127" s="1" t="s">
        <v>16</v>
      </c>
      <c r="F127">
        <v>202</v>
      </c>
      <c r="G127">
        <v>1</v>
      </c>
      <c r="J127">
        <v>12.5</v>
      </c>
      <c r="K127">
        <v>58</v>
      </c>
      <c r="M127" s="1">
        <v>49</v>
      </c>
    </row>
    <row r="128" spans="1:16" x14ac:dyDescent="0.3">
      <c r="A128">
        <v>2018</v>
      </c>
      <c r="B128">
        <v>70</v>
      </c>
      <c r="C128">
        <v>3</v>
      </c>
      <c r="D128" s="1">
        <v>936</v>
      </c>
      <c r="E128" s="1" t="s">
        <v>16</v>
      </c>
      <c r="F128">
        <v>122</v>
      </c>
      <c r="G128">
        <v>1</v>
      </c>
      <c r="J128">
        <v>9.5</v>
      </c>
      <c r="K128">
        <v>51</v>
      </c>
      <c r="M128" s="1">
        <v>38</v>
      </c>
    </row>
    <row r="129" spans="1:16" x14ac:dyDescent="0.3">
      <c r="A129">
        <v>2018</v>
      </c>
      <c r="B129">
        <v>70</v>
      </c>
      <c r="C129">
        <v>4</v>
      </c>
      <c r="D129" s="1">
        <v>937</v>
      </c>
      <c r="E129" s="1" t="s">
        <v>16</v>
      </c>
      <c r="F129">
        <v>122</v>
      </c>
      <c r="G129">
        <v>1</v>
      </c>
      <c r="J129">
        <v>8.6</v>
      </c>
      <c r="K129">
        <v>48</v>
      </c>
      <c r="M129" s="1">
        <v>36</v>
      </c>
    </row>
    <row r="130" spans="1:16" x14ac:dyDescent="0.3">
      <c r="A130">
        <v>2018</v>
      </c>
      <c r="B130">
        <v>70</v>
      </c>
      <c r="C130">
        <v>5</v>
      </c>
      <c r="D130" s="1">
        <v>938</v>
      </c>
      <c r="E130" s="1" t="s">
        <v>16</v>
      </c>
      <c r="F130">
        <v>122</v>
      </c>
      <c r="G130">
        <v>1</v>
      </c>
      <c r="J130">
        <v>12.2</v>
      </c>
      <c r="K130">
        <v>56</v>
      </c>
      <c r="M130" s="1">
        <v>46</v>
      </c>
    </row>
    <row r="131" spans="1:16" x14ac:dyDescent="0.3">
      <c r="A131">
        <v>2018</v>
      </c>
      <c r="B131">
        <v>70</v>
      </c>
      <c r="C131">
        <v>6</v>
      </c>
      <c r="D131" s="1">
        <v>939</v>
      </c>
      <c r="E131" s="1" t="s">
        <v>16</v>
      </c>
      <c r="F131">
        <v>122</v>
      </c>
      <c r="G131">
        <v>1</v>
      </c>
      <c r="J131">
        <v>8.6</v>
      </c>
      <c r="K131">
        <v>50</v>
      </c>
      <c r="M131" s="1">
        <v>38</v>
      </c>
    </row>
    <row r="132" spans="1:16" x14ac:dyDescent="0.3">
      <c r="A132">
        <v>2018</v>
      </c>
      <c r="B132">
        <v>70</v>
      </c>
      <c r="C132">
        <v>7</v>
      </c>
      <c r="D132" s="1">
        <v>940</v>
      </c>
      <c r="E132" s="1" t="s">
        <v>16</v>
      </c>
      <c r="F132">
        <v>122</v>
      </c>
      <c r="G132">
        <v>1</v>
      </c>
      <c r="J132">
        <v>7.8</v>
      </c>
      <c r="K132">
        <v>47</v>
      </c>
      <c r="M132" s="1">
        <v>32</v>
      </c>
    </row>
    <row r="133" spans="1:16" x14ac:dyDescent="0.3">
      <c r="A133">
        <v>2018</v>
      </c>
      <c r="B133">
        <v>70</v>
      </c>
      <c r="C133">
        <v>8</v>
      </c>
      <c r="D133" s="1">
        <v>941</v>
      </c>
      <c r="E133" s="1" t="s">
        <v>16</v>
      </c>
      <c r="F133">
        <v>122</v>
      </c>
      <c r="G133">
        <v>1</v>
      </c>
      <c r="J133">
        <v>10</v>
      </c>
      <c r="K133">
        <v>55</v>
      </c>
      <c r="M133" s="1">
        <v>44</v>
      </c>
    </row>
    <row r="134" spans="1:16" x14ac:dyDescent="0.3">
      <c r="A134">
        <v>2018</v>
      </c>
      <c r="B134">
        <v>70</v>
      </c>
      <c r="C134">
        <v>9</v>
      </c>
      <c r="D134" s="1">
        <v>942</v>
      </c>
      <c r="E134" s="1" t="s">
        <v>16</v>
      </c>
      <c r="F134">
        <v>122</v>
      </c>
      <c r="G134">
        <v>1</v>
      </c>
      <c r="J134">
        <v>5.5</v>
      </c>
      <c r="K134">
        <v>30</v>
      </c>
      <c r="M134" s="1">
        <v>19</v>
      </c>
    </row>
    <row r="135" spans="1:16" x14ac:dyDescent="0.3">
      <c r="A135">
        <v>2018</v>
      </c>
      <c r="B135">
        <v>70</v>
      </c>
      <c r="C135">
        <v>10</v>
      </c>
      <c r="D135" s="1">
        <v>943</v>
      </c>
      <c r="E135" s="1" t="s">
        <v>16</v>
      </c>
      <c r="F135">
        <v>202</v>
      </c>
      <c r="G135">
        <v>1</v>
      </c>
      <c r="J135">
        <v>12.3</v>
      </c>
      <c r="K135">
        <v>56</v>
      </c>
      <c r="M135" s="1">
        <v>48</v>
      </c>
    </row>
    <row r="136" spans="1:16" x14ac:dyDescent="0.3">
      <c r="A136">
        <v>2018</v>
      </c>
      <c r="B136">
        <v>70</v>
      </c>
      <c r="C136">
        <v>11</v>
      </c>
      <c r="D136" s="1">
        <v>944</v>
      </c>
      <c r="E136" s="1" t="s">
        <v>16</v>
      </c>
      <c r="F136">
        <v>202</v>
      </c>
      <c r="G136">
        <v>1</v>
      </c>
      <c r="J136">
        <v>11.9</v>
      </c>
      <c r="K136">
        <v>63</v>
      </c>
      <c r="M136" s="1">
        <v>54</v>
      </c>
    </row>
    <row r="137" spans="1:16" x14ac:dyDescent="0.3">
      <c r="A137">
        <v>2018</v>
      </c>
      <c r="B137">
        <v>70</v>
      </c>
      <c r="C137">
        <v>12</v>
      </c>
      <c r="D137" s="1">
        <v>945</v>
      </c>
      <c r="E137" s="1" t="s">
        <v>16</v>
      </c>
      <c r="F137">
        <v>202</v>
      </c>
      <c r="G137">
        <v>1</v>
      </c>
      <c r="J137">
        <v>8.1999999999999993</v>
      </c>
      <c r="K137">
        <v>45</v>
      </c>
      <c r="M137" s="1">
        <v>29</v>
      </c>
    </row>
    <row r="138" spans="1:16" x14ac:dyDescent="0.3">
      <c r="A138">
        <v>2018</v>
      </c>
      <c r="B138">
        <v>80</v>
      </c>
      <c r="C138">
        <v>1</v>
      </c>
      <c r="D138" s="1">
        <v>1086</v>
      </c>
      <c r="E138" s="1" t="s">
        <v>24</v>
      </c>
      <c r="F138">
        <v>350</v>
      </c>
      <c r="G138">
        <v>2</v>
      </c>
      <c r="I138">
        <v>2</v>
      </c>
      <c r="J138">
        <v>5.3</v>
      </c>
      <c r="K138">
        <v>22</v>
      </c>
      <c r="L138">
        <v>21</v>
      </c>
      <c r="M138" s="1">
        <v>7</v>
      </c>
      <c r="N138" s="1">
        <v>1</v>
      </c>
      <c r="P138" t="s">
        <v>41</v>
      </c>
    </row>
    <row r="139" spans="1:16" x14ac:dyDescent="0.3">
      <c r="A139">
        <v>2018</v>
      </c>
      <c r="B139">
        <v>80</v>
      </c>
      <c r="C139">
        <v>2</v>
      </c>
      <c r="D139" s="1">
        <v>1087</v>
      </c>
      <c r="E139" s="1" t="s">
        <v>34</v>
      </c>
      <c r="F139">
        <v>202</v>
      </c>
      <c r="G139">
        <v>2</v>
      </c>
      <c r="I139">
        <v>3</v>
      </c>
      <c r="J139">
        <v>19.2</v>
      </c>
      <c r="K139">
        <v>70</v>
      </c>
      <c r="L139">
        <v>22</v>
      </c>
      <c r="M139" s="1">
        <v>50</v>
      </c>
      <c r="N139" s="1">
        <v>13</v>
      </c>
      <c r="O139">
        <v>4</v>
      </c>
      <c r="P139" t="s">
        <v>42</v>
      </c>
    </row>
    <row r="140" spans="1:16" x14ac:dyDescent="0.3">
      <c r="A140">
        <v>2018</v>
      </c>
      <c r="B140">
        <v>80</v>
      </c>
      <c r="C140">
        <v>3</v>
      </c>
      <c r="D140" s="1">
        <v>1088</v>
      </c>
      <c r="E140" s="1" t="s">
        <v>16</v>
      </c>
      <c r="F140">
        <v>202</v>
      </c>
      <c r="G140">
        <v>1</v>
      </c>
      <c r="J140">
        <v>22.8</v>
      </c>
      <c r="K140">
        <v>80</v>
      </c>
      <c r="M140" s="1">
        <v>66</v>
      </c>
    </row>
    <row r="141" spans="1:16" x14ac:dyDescent="0.3">
      <c r="A141">
        <v>2018</v>
      </c>
      <c r="B141">
        <v>80</v>
      </c>
      <c r="C141">
        <v>4</v>
      </c>
      <c r="D141" s="1">
        <v>1089</v>
      </c>
      <c r="E141" s="1" t="s">
        <v>16</v>
      </c>
      <c r="F141">
        <v>202</v>
      </c>
      <c r="G141">
        <v>1</v>
      </c>
      <c r="J141">
        <v>13.1</v>
      </c>
      <c r="K141">
        <v>56</v>
      </c>
      <c r="M141" s="1">
        <v>34</v>
      </c>
    </row>
    <row r="142" spans="1:16" x14ac:dyDescent="0.3">
      <c r="A142">
        <v>2018</v>
      </c>
      <c r="B142">
        <v>80</v>
      </c>
      <c r="C142">
        <v>5</v>
      </c>
      <c r="D142" s="1">
        <v>1090</v>
      </c>
      <c r="E142" s="1" t="s">
        <v>16</v>
      </c>
      <c r="F142">
        <v>202</v>
      </c>
      <c r="G142">
        <v>1</v>
      </c>
      <c r="J142">
        <v>2.4</v>
      </c>
    </row>
    <row r="143" spans="1:16" x14ac:dyDescent="0.3">
      <c r="A143">
        <v>2018</v>
      </c>
      <c r="B143">
        <v>81</v>
      </c>
      <c r="C143">
        <v>1</v>
      </c>
      <c r="D143" s="1">
        <v>1091</v>
      </c>
      <c r="E143" s="1" t="s">
        <v>16</v>
      </c>
      <c r="F143">
        <v>108</v>
      </c>
      <c r="G143">
        <v>1</v>
      </c>
      <c r="J143">
        <v>6.5</v>
      </c>
      <c r="K143">
        <v>50</v>
      </c>
      <c r="M143" s="1">
        <v>35</v>
      </c>
    </row>
    <row r="144" spans="1:16" x14ac:dyDescent="0.3">
      <c r="A144">
        <v>2018</v>
      </c>
      <c r="B144">
        <v>81</v>
      </c>
      <c r="C144">
        <v>2</v>
      </c>
      <c r="D144" s="1">
        <v>1092</v>
      </c>
      <c r="E144" s="1" t="s">
        <v>16</v>
      </c>
      <c r="F144">
        <v>108</v>
      </c>
      <c r="G144">
        <v>1</v>
      </c>
      <c r="J144">
        <v>5.4</v>
      </c>
      <c r="K144">
        <v>48</v>
      </c>
      <c r="M144" s="1">
        <v>35</v>
      </c>
    </row>
    <row r="145" spans="1:15" x14ac:dyDescent="0.3">
      <c r="A145">
        <v>2018</v>
      </c>
      <c r="B145">
        <v>81</v>
      </c>
      <c r="C145">
        <v>3</v>
      </c>
      <c r="D145" s="1">
        <v>1093</v>
      </c>
      <c r="E145" s="1" t="s">
        <v>16</v>
      </c>
      <c r="F145">
        <v>108</v>
      </c>
      <c r="G145">
        <v>1</v>
      </c>
      <c r="J145">
        <v>6.2</v>
      </c>
      <c r="K145">
        <v>48</v>
      </c>
      <c r="M145" s="1">
        <v>33</v>
      </c>
    </row>
    <row r="146" spans="1:15" x14ac:dyDescent="0.3">
      <c r="A146">
        <v>2018</v>
      </c>
      <c r="B146">
        <v>81</v>
      </c>
      <c r="C146">
        <v>4</v>
      </c>
      <c r="D146" s="1">
        <v>1094</v>
      </c>
      <c r="E146" s="1" t="s">
        <v>16</v>
      </c>
      <c r="F146">
        <v>108</v>
      </c>
      <c r="G146">
        <v>1</v>
      </c>
      <c r="J146">
        <v>5</v>
      </c>
      <c r="K146">
        <v>48</v>
      </c>
      <c r="M146" s="1">
        <v>29</v>
      </c>
    </row>
    <row r="147" spans="1:15" x14ac:dyDescent="0.3">
      <c r="A147">
        <v>2018</v>
      </c>
      <c r="B147">
        <v>81</v>
      </c>
      <c r="C147">
        <v>5</v>
      </c>
      <c r="D147" s="1">
        <v>1095</v>
      </c>
      <c r="E147" s="1" t="s">
        <v>16</v>
      </c>
      <c r="F147">
        <v>108</v>
      </c>
      <c r="G147">
        <v>1</v>
      </c>
      <c r="J147">
        <v>5.5</v>
      </c>
      <c r="K147">
        <v>48</v>
      </c>
      <c r="M147" s="1">
        <v>36</v>
      </c>
    </row>
    <row r="148" spans="1:15" x14ac:dyDescent="0.3">
      <c r="A148">
        <v>2018</v>
      </c>
      <c r="B148">
        <v>81</v>
      </c>
      <c r="C148">
        <v>6</v>
      </c>
      <c r="D148" s="1">
        <v>1096</v>
      </c>
      <c r="E148" s="1" t="s">
        <v>24</v>
      </c>
      <c r="F148">
        <v>108</v>
      </c>
      <c r="G148">
        <v>2</v>
      </c>
      <c r="I148">
        <v>2</v>
      </c>
      <c r="J148">
        <v>6.5</v>
      </c>
      <c r="K148">
        <v>48</v>
      </c>
      <c r="M148" s="1">
        <v>37</v>
      </c>
    </row>
    <row r="149" spans="1:15" x14ac:dyDescent="0.3">
      <c r="A149">
        <v>2018</v>
      </c>
      <c r="B149">
        <v>81</v>
      </c>
      <c r="C149">
        <v>7</v>
      </c>
      <c r="D149" s="1">
        <v>1097</v>
      </c>
      <c r="E149" s="1" t="s">
        <v>24</v>
      </c>
      <c r="F149">
        <v>108</v>
      </c>
      <c r="G149">
        <v>2</v>
      </c>
      <c r="I149">
        <v>2</v>
      </c>
      <c r="J149">
        <v>7</v>
      </c>
      <c r="K149">
        <v>49</v>
      </c>
      <c r="M149" s="1">
        <v>37</v>
      </c>
    </row>
    <row r="150" spans="1:15" x14ac:dyDescent="0.3">
      <c r="A150">
        <v>2018</v>
      </c>
      <c r="B150">
        <v>81</v>
      </c>
      <c r="C150">
        <v>8</v>
      </c>
      <c r="D150" s="1">
        <v>1098</v>
      </c>
      <c r="E150" s="1" t="s">
        <v>24</v>
      </c>
      <c r="F150">
        <v>108</v>
      </c>
      <c r="G150">
        <v>2</v>
      </c>
      <c r="I150">
        <v>2</v>
      </c>
      <c r="J150">
        <v>6.7</v>
      </c>
      <c r="K150">
        <v>48</v>
      </c>
      <c r="M150" s="1">
        <v>36</v>
      </c>
    </row>
    <row r="151" spans="1:15" x14ac:dyDescent="0.3">
      <c r="A151">
        <v>2018</v>
      </c>
      <c r="B151">
        <v>81</v>
      </c>
      <c r="C151">
        <v>9</v>
      </c>
      <c r="D151" s="1">
        <v>1099</v>
      </c>
      <c r="E151" s="1" t="s">
        <v>24</v>
      </c>
      <c r="F151">
        <v>108</v>
      </c>
      <c r="G151">
        <v>2</v>
      </c>
      <c r="I151">
        <v>2</v>
      </c>
      <c r="J151">
        <v>5.8</v>
      </c>
      <c r="K151">
        <v>45</v>
      </c>
      <c r="M151" s="1">
        <v>29</v>
      </c>
    </row>
    <row r="152" spans="1:15" x14ac:dyDescent="0.3">
      <c r="A152">
        <v>2018</v>
      </c>
      <c r="B152">
        <v>81</v>
      </c>
      <c r="C152">
        <v>10</v>
      </c>
      <c r="D152" s="1">
        <v>1100</v>
      </c>
      <c r="E152" s="1" t="s">
        <v>24</v>
      </c>
      <c r="F152">
        <v>108</v>
      </c>
      <c r="G152">
        <v>2</v>
      </c>
      <c r="I152">
        <v>1</v>
      </c>
      <c r="J152">
        <v>5.7</v>
      </c>
      <c r="K152">
        <v>49</v>
      </c>
      <c r="M152" s="1">
        <v>29</v>
      </c>
    </row>
    <row r="153" spans="1:15" x14ac:dyDescent="0.3">
      <c r="A153">
        <v>2018</v>
      </c>
      <c r="B153">
        <v>81</v>
      </c>
      <c r="C153">
        <v>11</v>
      </c>
      <c r="D153" s="1">
        <v>1101</v>
      </c>
      <c r="E153" s="1" t="s">
        <v>16</v>
      </c>
      <c r="F153">
        <v>108</v>
      </c>
      <c r="G153">
        <v>1</v>
      </c>
      <c r="J153">
        <v>6.6</v>
      </c>
      <c r="K153">
        <v>47</v>
      </c>
      <c r="M153" s="1">
        <v>31</v>
      </c>
    </row>
    <row r="154" spans="1:15" x14ac:dyDescent="0.3">
      <c r="A154">
        <v>2018</v>
      </c>
      <c r="B154">
        <v>81</v>
      </c>
      <c r="C154">
        <v>12</v>
      </c>
      <c r="D154" s="1">
        <v>1102</v>
      </c>
      <c r="E154" s="1" t="s">
        <v>24</v>
      </c>
      <c r="F154">
        <v>108</v>
      </c>
      <c r="G154">
        <v>2</v>
      </c>
      <c r="I154">
        <v>2</v>
      </c>
      <c r="J154">
        <v>5.6</v>
      </c>
      <c r="K154">
        <v>48</v>
      </c>
      <c r="M154" s="1">
        <v>32</v>
      </c>
      <c r="O154">
        <v>1</v>
      </c>
    </row>
    <row r="155" spans="1:15" x14ac:dyDescent="0.3">
      <c r="A155">
        <v>2018</v>
      </c>
      <c r="B155">
        <v>81</v>
      </c>
      <c r="C155">
        <v>13</v>
      </c>
      <c r="D155" s="1">
        <v>1103</v>
      </c>
      <c r="E155" s="1" t="s">
        <v>24</v>
      </c>
      <c r="F155">
        <v>108</v>
      </c>
      <c r="G155">
        <v>2</v>
      </c>
      <c r="I155">
        <v>2</v>
      </c>
      <c r="J155">
        <v>7</v>
      </c>
      <c r="K155">
        <v>49</v>
      </c>
      <c r="M155" s="1">
        <v>35</v>
      </c>
    </row>
    <row r="156" spans="1:15" x14ac:dyDescent="0.3">
      <c r="A156">
        <v>2018</v>
      </c>
      <c r="B156">
        <v>81</v>
      </c>
      <c r="C156">
        <v>14</v>
      </c>
      <c r="D156" s="1">
        <v>1104</v>
      </c>
      <c r="E156" s="1" t="s">
        <v>24</v>
      </c>
      <c r="F156">
        <v>108</v>
      </c>
      <c r="G156">
        <v>2</v>
      </c>
      <c r="I156">
        <v>2</v>
      </c>
      <c r="J156">
        <v>6.4</v>
      </c>
      <c r="K156">
        <v>51</v>
      </c>
      <c r="M156" s="1">
        <v>39</v>
      </c>
    </row>
    <row r="157" spans="1:15" x14ac:dyDescent="0.3">
      <c r="A157">
        <v>2018</v>
      </c>
      <c r="B157">
        <v>81</v>
      </c>
      <c r="C157">
        <v>15</v>
      </c>
      <c r="D157" s="1">
        <v>1105</v>
      </c>
      <c r="E157" s="1" t="s">
        <v>16</v>
      </c>
      <c r="F157">
        <v>108</v>
      </c>
      <c r="G157">
        <v>1</v>
      </c>
      <c r="J157">
        <v>6.3</v>
      </c>
      <c r="K157">
        <v>50</v>
      </c>
      <c r="M157" s="1">
        <v>34</v>
      </c>
    </row>
    <row r="158" spans="1:15" x14ac:dyDescent="0.3">
      <c r="A158">
        <v>2018</v>
      </c>
      <c r="B158">
        <v>81</v>
      </c>
      <c r="C158">
        <v>16</v>
      </c>
      <c r="D158" s="1">
        <v>1106</v>
      </c>
      <c r="E158" s="1" t="s">
        <v>16</v>
      </c>
      <c r="F158">
        <v>108</v>
      </c>
      <c r="G158">
        <v>1</v>
      </c>
      <c r="J158">
        <v>8</v>
      </c>
      <c r="K158">
        <v>55</v>
      </c>
      <c r="M158" s="1">
        <v>44</v>
      </c>
    </row>
    <row r="159" spans="1:15" x14ac:dyDescent="0.3">
      <c r="A159">
        <v>2018</v>
      </c>
      <c r="B159">
        <v>81</v>
      </c>
      <c r="C159">
        <v>17</v>
      </c>
      <c r="D159" s="1">
        <v>1107</v>
      </c>
      <c r="E159" s="1" t="s">
        <v>16</v>
      </c>
      <c r="F159">
        <v>108</v>
      </c>
      <c r="G159">
        <v>1</v>
      </c>
      <c r="J159">
        <v>6.8</v>
      </c>
      <c r="K159">
        <v>58</v>
      </c>
      <c r="M159" s="1">
        <v>43</v>
      </c>
    </row>
    <row r="160" spans="1:15" x14ac:dyDescent="0.3">
      <c r="A160">
        <v>2018</v>
      </c>
      <c r="B160">
        <v>81</v>
      </c>
      <c r="C160">
        <v>18</v>
      </c>
      <c r="D160" s="1">
        <v>1108</v>
      </c>
      <c r="E160" s="1" t="s">
        <v>16</v>
      </c>
      <c r="F160">
        <v>108</v>
      </c>
      <c r="G160">
        <v>1</v>
      </c>
      <c r="J160">
        <v>7.3</v>
      </c>
      <c r="K160">
        <v>55</v>
      </c>
      <c r="M160" s="1">
        <v>42</v>
      </c>
    </row>
    <row r="161" spans="1:13" x14ac:dyDescent="0.3">
      <c r="A161">
        <v>2018</v>
      </c>
      <c r="B161">
        <v>81</v>
      </c>
      <c r="C161">
        <v>19</v>
      </c>
      <c r="D161" s="1">
        <v>1109</v>
      </c>
      <c r="E161" s="1" t="s">
        <v>34</v>
      </c>
      <c r="F161">
        <v>108</v>
      </c>
      <c r="G161">
        <v>2</v>
      </c>
      <c r="I161">
        <v>2</v>
      </c>
      <c r="J161">
        <v>7.3</v>
      </c>
      <c r="K161">
        <v>48</v>
      </c>
      <c r="M161" s="1">
        <v>32</v>
      </c>
    </row>
    <row r="162" spans="1:13" x14ac:dyDescent="0.3">
      <c r="A162">
        <v>2018</v>
      </c>
      <c r="B162">
        <v>81</v>
      </c>
      <c r="C162">
        <v>20</v>
      </c>
      <c r="D162" s="1">
        <v>1110</v>
      </c>
      <c r="E162" s="1" t="s">
        <v>16</v>
      </c>
      <c r="F162">
        <v>108</v>
      </c>
      <c r="G162">
        <v>1</v>
      </c>
      <c r="J162">
        <v>5.5</v>
      </c>
      <c r="K162">
        <v>46</v>
      </c>
      <c r="M162" s="1">
        <v>28</v>
      </c>
    </row>
    <row r="163" spans="1:13" x14ac:dyDescent="0.3">
      <c r="A163">
        <v>2018</v>
      </c>
      <c r="B163">
        <v>81</v>
      </c>
      <c r="C163">
        <v>21</v>
      </c>
      <c r="D163" s="1">
        <v>1111</v>
      </c>
      <c r="E163" s="1" t="s">
        <v>16</v>
      </c>
      <c r="F163">
        <v>108</v>
      </c>
      <c r="G163">
        <v>1</v>
      </c>
      <c r="J163">
        <v>7.5</v>
      </c>
      <c r="K163">
        <v>58</v>
      </c>
      <c r="M163" s="1">
        <v>47</v>
      </c>
    </row>
    <row r="164" spans="1:13" x14ac:dyDescent="0.3">
      <c r="A164">
        <v>2018</v>
      </c>
      <c r="B164">
        <v>81</v>
      </c>
      <c r="C164">
        <v>22</v>
      </c>
      <c r="D164" s="1">
        <v>1112</v>
      </c>
      <c r="E164" s="1" t="s">
        <v>16</v>
      </c>
      <c r="F164">
        <v>108</v>
      </c>
      <c r="G164">
        <v>1</v>
      </c>
      <c r="J164">
        <v>7.1</v>
      </c>
      <c r="K164">
        <v>53</v>
      </c>
      <c r="M164" s="1">
        <v>39</v>
      </c>
    </row>
    <row r="165" spans="1:13" x14ac:dyDescent="0.3">
      <c r="A165">
        <v>2018</v>
      </c>
      <c r="B165">
        <v>81</v>
      </c>
      <c r="C165">
        <v>23</v>
      </c>
      <c r="D165" s="1">
        <v>1113</v>
      </c>
      <c r="E165" s="1" t="s">
        <v>16</v>
      </c>
      <c r="F165">
        <v>108</v>
      </c>
      <c r="G165">
        <v>1</v>
      </c>
      <c r="J165">
        <v>7.3</v>
      </c>
      <c r="K165">
        <v>54</v>
      </c>
      <c r="M165" s="1">
        <v>42</v>
      </c>
    </row>
    <row r="166" spans="1:13" x14ac:dyDescent="0.3">
      <c r="A166">
        <v>2018</v>
      </c>
      <c r="B166">
        <v>81</v>
      </c>
      <c r="C166">
        <v>24</v>
      </c>
      <c r="D166" s="1">
        <v>1114</v>
      </c>
      <c r="E166" s="1" t="s">
        <v>24</v>
      </c>
      <c r="F166">
        <v>108</v>
      </c>
      <c r="G166">
        <v>2</v>
      </c>
      <c r="I166">
        <v>2</v>
      </c>
      <c r="J166">
        <v>6.1</v>
      </c>
      <c r="K166">
        <v>52</v>
      </c>
      <c r="M166" s="1">
        <v>39</v>
      </c>
    </row>
    <row r="167" spans="1:13" x14ac:dyDescent="0.3">
      <c r="A167">
        <v>2018</v>
      </c>
      <c r="B167">
        <v>81</v>
      </c>
      <c r="C167">
        <v>25</v>
      </c>
      <c r="D167" s="1">
        <v>1115</v>
      </c>
      <c r="E167" s="1" t="s">
        <v>16</v>
      </c>
      <c r="F167">
        <v>108</v>
      </c>
      <c r="G167">
        <v>1</v>
      </c>
      <c r="J167">
        <v>7.8</v>
      </c>
      <c r="K167">
        <v>55</v>
      </c>
      <c r="M167" s="1">
        <v>41</v>
      </c>
    </row>
    <row r="168" spans="1:13" x14ac:dyDescent="0.3">
      <c r="A168">
        <v>2018</v>
      </c>
      <c r="B168">
        <v>81</v>
      </c>
      <c r="C168">
        <v>26</v>
      </c>
      <c r="D168" s="1">
        <v>1116</v>
      </c>
      <c r="E168" s="1" t="s">
        <v>16</v>
      </c>
      <c r="F168">
        <v>108</v>
      </c>
      <c r="G168">
        <v>1</v>
      </c>
      <c r="J168">
        <v>6.3</v>
      </c>
      <c r="K168">
        <v>49</v>
      </c>
      <c r="M168" s="1">
        <v>37</v>
      </c>
    </row>
    <row r="169" spans="1:13" x14ac:dyDescent="0.3">
      <c r="A169">
        <v>2018</v>
      </c>
      <c r="B169">
        <v>81</v>
      </c>
      <c r="C169">
        <v>27</v>
      </c>
      <c r="D169" s="1">
        <v>1117</v>
      </c>
      <c r="E169" s="1" t="s">
        <v>16</v>
      </c>
      <c r="F169">
        <v>108</v>
      </c>
      <c r="G169">
        <v>1</v>
      </c>
      <c r="J169">
        <v>7.7</v>
      </c>
      <c r="K169">
        <v>49</v>
      </c>
      <c r="M169" s="1">
        <v>39</v>
      </c>
    </row>
    <row r="170" spans="1:13" x14ac:dyDescent="0.3">
      <c r="A170">
        <v>2018</v>
      </c>
      <c r="B170">
        <v>81</v>
      </c>
      <c r="C170">
        <v>28</v>
      </c>
      <c r="D170" s="1">
        <v>1118</v>
      </c>
      <c r="E170" s="1" t="s">
        <v>16</v>
      </c>
      <c r="F170">
        <v>108</v>
      </c>
      <c r="G170">
        <v>1</v>
      </c>
      <c r="J170">
        <v>6.4</v>
      </c>
      <c r="K170">
        <v>45</v>
      </c>
      <c r="M170" s="1">
        <v>35</v>
      </c>
    </row>
    <row r="171" spans="1:13" x14ac:dyDescent="0.3">
      <c r="A171">
        <v>2018</v>
      </c>
      <c r="B171">
        <v>81</v>
      </c>
      <c r="C171">
        <v>29</v>
      </c>
      <c r="D171" s="1">
        <v>1119</v>
      </c>
      <c r="E171" s="1" t="s">
        <v>24</v>
      </c>
      <c r="F171">
        <v>108</v>
      </c>
      <c r="G171">
        <v>2</v>
      </c>
      <c r="I171">
        <v>1</v>
      </c>
      <c r="J171">
        <v>8.6999999999999993</v>
      </c>
      <c r="K171">
        <v>52</v>
      </c>
      <c r="M171" s="1">
        <v>37</v>
      </c>
    </row>
    <row r="172" spans="1:13" x14ac:dyDescent="0.3">
      <c r="A172">
        <v>2018</v>
      </c>
      <c r="B172">
        <v>81</v>
      </c>
      <c r="C172">
        <v>30</v>
      </c>
      <c r="D172" s="1">
        <v>1120</v>
      </c>
      <c r="E172" s="1" t="s">
        <v>16</v>
      </c>
      <c r="F172">
        <v>108</v>
      </c>
      <c r="G172">
        <v>1</v>
      </c>
      <c r="J172">
        <v>9</v>
      </c>
      <c r="K172">
        <v>49</v>
      </c>
      <c r="M172" s="1">
        <v>38</v>
      </c>
    </row>
    <row r="173" spans="1:13" x14ac:dyDescent="0.3">
      <c r="A173">
        <v>2018</v>
      </c>
      <c r="B173">
        <v>81</v>
      </c>
      <c r="C173">
        <v>31</v>
      </c>
      <c r="D173" s="1">
        <v>1121</v>
      </c>
      <c r="E173" s="1" t="s">
        <v>16</v>
      </c>
      <c r="F173">
        <v>108</v>
      </c>
      <c r="G173">
        <v>1</v>
      </c>
      <c r="J173">
        <v>5.2</v>
      </c>
      <c r="K173">
        <v>45</v>
      </c>
      <c r="M173" s="1">
        <v>26</v>
      </c>
    </row>
    <row r="174" spans="1:13" x14ac:dyDescent="0.3">
      <c r="A174">
        <v>2018</v>
      </c>
      <c r="B174">
        <v>81</v>
      </c>
      <c r="C174">
        <v>32</v>
      </c>
      <c r="D174" s="1">
        <v>1122</v>
      </c>
      <c r="E174" s="1" t="s">
        <v>16</v>
      </c>
      <c r="F174">
        <v>108</v>
      </c>
      <c r="G174">
        <v>1</v>
      </c>
      <c r="J174">
        <v>7.6</v>
      </c>
      <c r="K174">
        <v>46</v>
      </c>
      <c r="M174" s="1">
        <v>32</v>
      </c>
    </row>
    <row r="175" spans="1:13" x14ac:dyDescent="0.3">
      <c r="A175">
        <v>2018</v>
      </c>
      <c r="B175">
        <v>81</v>
      </c>
      <c r="C175">
        <v>33</v>
      </c>
      <c r="D175" s="1">
        <v>1123</v>
      </c>
      <c r="E175" s="1" t="s">
        <v>16</v>
      </c>
      <c r="F175">
        <v>202</v>
      </c>
      <c r="G175">
        <v>1</v>
      </c>
      <c r="J175">
        <v>5</v>
      </c>
      <c r="K175">
        <v>22</v>
      </c>
      <c r="M175" s="1">
        <v>11</v>
      </c>
    </row>
    <row r="176" spans="1:13" x14ac:dyDescent="0.3">
      <c r="A176">
        <v>2018</v>
      </c>
      <c r="B176">
        <v>81</v>
      </c>
      <c r="C176">
        <v>34</v>
      </c>
      <c r="D176" s="1">
        <v>1124</v>
      </c>
      <c r="E176" s="1" t="s">
        <v>16</v>
      </c>
      <c r="F176">
        <v>108</v>
      </c>
      <c r="G176">
        <v>1</v>
      </c>
      <c r="J176">
        <v>5.9</v>
      </c>
      <c r="K176">
        <v>40</v>
      </c>
      <c r="M176" s="1">
        <v>26</v>
      </c>
    </row>
    <row r="177" spans="1:13" x14ac:dyDescent="0.3">
      <c r="A177">
        <v>2018</v>
      </c>
      <c r="B177">
        <v>81</v>
      </c>
      <c r="C177">
        <v>35</v>
      </c>
      <c r="D177" s="1">
        <v>1125</v>
      </c>
      <c r="E177" s="1" t="s">
        <v>24</v>
      </c>
      <c r="F177">
        <v>108</v>
      </c>
      <c r="G177">
        <v>2</v>
      </c>
      <c r="I177">
        <v>2</v>
      </c>
      <c r="J177">
        <v>6.6</v>
      </c>
      <c r="K177">
        <v>43</v>
      </c>
      <c r="M177" s="1">
        <v>30</v>
      </c>
    </row>
    <row r="178" spans="1:13" x14ac:dyDescent="0.3">
      <c r="A178">
        <v>2018</v>
      </c>
      <c r="B178">
        <v>81</v>
      </c>
      <c r="C178">
        <v>36</v>
      </c>
      <c r="D178" s="1">
        <v>1126</v>
      </c>
      <c r="E178" s="1" t="s">
        <v>16</v>
      </c>
      <c r="F178">
        <v>108</v>
      </c>
      <c r="G178">
        <v>1</v>
      </c>
      <c r="J178">
        <v>6.3</v>
      </c>
      <c r="K178">
        <v>47</v>
      </c>
      <c r="M178" s="1">
        <v>29</v>
      </c>
    </row>
    <row r="179" spans="1:13" x14ac:dyDescent="0.3">
      <c r="A179">
        <v>2018</v>
      </c>
      <c r="B179">
        <v>81</v>
      </c>
      <c r="C179">
        <v>37</v>
      </c>
      <c r="D179" s="1">
        <v>1127</v>
      </c>
      <c r="E179" s="1" t="s">
        <v>24</v>
      </c>
      <c r="F179">
        <v>108</v>
      </c>
      <c r="G179">
        <v>2</v>
      </c>
      <c r="I179">
        <v>2</v>
      </c>
      <c r="J179">
        <v>6.2</v>
      </c>
      <c r="K179">
        <v>39</v>
      </c>
      <c r="M179" s="1">
        <v>25</v>
      </c>
    </row>
    <row r="180" spans="1:13" x14ac:dyDescent="0.3">
      <c r="A180">
        <v>2018</v>
      </c>
      <c r="B180">
        <v>81</v>
      </c>
      <c r="C180">
        <v>38</v>
      </c>
      <c r="D180" s="1">
        <v>1128</v>
      </c>
      <c r="E180" s="1" t="s">
        <v>16</v>
      </c>
      <c r="F180">
        <v>108</v>
      </c>
      <c r="G180">
        <v>1</v>
      </c>
      <c r="J180">
        <v>6.6</v>
      </c>
      <c r="K180">
        <v>48</v>
      </c>
      <c r="M180" s="1">
        <v>34</v>
      </c>
    </row>
    <row r="181" spans="1:13" x14ac:dyDescent="0.3">
      <c r="A181">
        <v>2018</v>
      </c>
      <c r="B181">
        <v>81</v>
      </c>
      <c r="C181">
        <v>39</v>
      </c>
      <c r="D181" s="1">
        <v>1129</v>
      </c>
      <c r="E181" s="1" t="s">
        <v>16</v>
      </c>
      <c r="F181">
        <v>108</v>
      </c>
      <c r="G181">
        <v>1</v>
      </c>
      <c r="J181">
        <v>6.4</v>
      </c>
      <c r="K181">
        <v>49</v>
      </c>
      <c r="M181" s="1">
        <v>37</v>
      </c>
    </row>
    <row r="182" spans="1:13" x14ac:dyDescent="0.3">
      <c r="A182">
        <v>2018</v>
      </c>
      <c r="B182">
        <v>81</v>
      </c>
      <c r="C182">
        <v>40</v>
      </c>
      <c r="D182" s="1">
        <v>1130</v>
      </c>
      <c r="E182" s="1" t="s">
        <v>16</v>
      </c>
      <c r="F182">
        <v>108</v>
      </c>
      <c r="G182">
        <v>1</v>
      </c>
      <c r="J182">
        <v>8</v>
      </c>
      <c r="K182">
        <v>46</v>
      </c>
      <c r="M182" s="1">
        <v>34</v>
      </c>
    </row>
    <row r="183" spans="1:13" x14ac:dyDescent="0.3">
      <c r="A183">
        <v>2018</v>
      </c>
      <c r="B183">
        <v>81</v>
      </c>
      <c r="C183">
        <v>41</v>
      </c>
      <c r="D183" s="1">
        <v>1131</v>
      </c>
      <c r="E183" s="1" t="s">
        <v>16</v>
      </c>
      <c r="F183">
        <v>108</v>
      </c>
      <c r="G183">
        <v>1</v>
      </c>
      <c r="J183">
        <v>5</v>
      </c>
      <c r="K183">
        <v>41</v>
      </c>
      <c r="M183" s="1">
        <v>25</v>
      </c>
    </row>
    <row r="184" spans="1:13" x14ac:dyDescent="0.3">
      <c r="A184">
        <v>2018</v>
      </c>
      <c r="B184">
        <v>81</v>
      </c>
      <c r="C184">
        <v>42</v>
      </c>
      <c r="D184" s="1">
        <v>1132</v>
      </c>
      <c r="E184" s="1" t="s">
        <v>16</v>
      </c>
      <c r="F184">
        <v>108</v>
      </c>
      <c r="G184">
        <v>1</v>
      </c>
      <c r="J184">
        <v>4.3</v>
      </c>
    </row>
    <row r="185" spans="1:13" x14ac:dyDescent="0.3">
      <c r="A185">
        <v>2018</v>
      </c>
      <c r="B185">
        <v>81</v>
      </c>
      <c r="C185">
        <v>43</v>
      </c>
      <c r="D185" s="1">
        <v>1133</v>
      </c>
      <c r="E185" s="1" t="s">
        <v>16</v>
      </c>
      <c r="F185">
        <v>202</v>
      </c>
      <c r="G185">
        <v>1</v>
      </c>
      <c r="J185">
        <v>2.8</v>
      </c>
    </row>
    <row r="186" spans="1:13" x14ac:dyDescent="0.3">
      <c r="A186">
        <v>2018</v>
      </c>
      <c r="B186">
        <v>81</v>
      </c>
      <c r="C186">
        <v>44</v>
      </c>
      <c r="D186" s="1">
        <v>1134</v>
      </c>
      <c r="E186" s="1" t="s">
        <v>16</v>
      </c>
      <c r="F186">
        <v>108</v>
      </c>
      <c r="G186">
        <v>1</v>
      </c>
      <c r="J186">
        <v>4.0999999999999996</v>
      </c>
    </row>
    <row r="187" spans="1:13" x14ac:dyDescent="0.3">
      <c r="A187">
        <v>2018</v>
      </c>
      <c r="B187">
        <v>110</v>
      </c>
      <c r="C187">
        <v>1</v>
      </c>
      <c r="D187" s="1">
        <v>1671</v>
      </c>
      <c r="E187" s="1" t="s">
        <v>16</v>
      </c>
      <c r="F187">
        <v>202</v>
      </c>
      <c r="G187">
        <v>1</v>
      </c>
      <c r="J187">
        <v>14.5</v>
      </c>
      <c r="K187">
        <v>67</v>
      </c>
      <c r="M187" s="1">
        <v>55</v>
      </c>
    </row>
    <row r="188" spans="1:13" x14ac:dyDescent="0.3">
      <c r="A188">
        <v>2018</v>
      </c>
      <c r="B188">
        <v>110</v>
      </c>
      <c r="C188">
        <v>2</v>
      </c>
      <c r="D188" s="1">
        <v>1672</v>
      </c>
      <c r="E188" s="1" t="s">
        <v>16</v>
      </c>
      <c r="F188">
        <v>202</v>
      </c>
      <c r="G188">
        <v>1</v>
      </c>
      <c r="J188">
        <v>11.9</v>
      </c>
      <c r="K188">
        <v>66</v>
      </c>
      <c r="M188" s="1">
        <v>57</v>
      </c>
    </row>
    <row r="189" spans="1:13" x14ac:dyDescent="0.3">
      <c r="A189">
        <v>2018</v>
      </c>
      <c r="B189">
        <v>110</v>
      </c>
      <c r="C189">
        <v>3</v>
      </c>
      <c r="D189" s="1">
        <v>1673</v>
      </c>
      <c r="E189" s="1" t="s">
        <v>16</v>
      </c>
      <c r="F189">
        <v>202</v>
      </c>
      <c r="G189">
        <v>1</v>
      </c>
      <c r="J189">
        <v>12.7</v>
      </c>
      <c r="K189">
        <v>72</v>
      </c>
      <c r="M189" s="1">
        <v>64</v>
      </c>
    </row>
    <row r="190" spans="1:13" x14ac:dyDescent="0.3">
      <c r="A190">
        <v>2018</v>
      </c>
      <c r="B190">
        <v>110</v>
      </c>
      <c r="C190">
        <v>4</v>
      </c>
      <c r="D190" s="1">
        <v>1674</v>
      </c>
      <c r="E190" s="1" t="s">
        <v>16</v>
      </c>
      <c r="F190">
        <v>202</v>
      </c>
      <c r="G190">
        <v>1</v>
      </c>
      <c r="J190">
        <v>8.5</v>
      </c>
      <c r="K190">
        <v>68</v>
      </c>
      <c r="M190" s="1">
        <v>56</v>
      </c>
    </row>
    <row r="191" spans="1:13" x14ac:dyDescent="0.3">
      <c r="A191">
        <v>2018</v>
      </c>
      <c r="B191">
        <v>110</v>
      </c>
      <c r="C191">
        <v>5</v>
      </c>
      <c r="D191" s="1">
        <v>1675</v>
      </c>
      <c r="E191" s="1" t="s">
        <v>34</v>
      </c>
      <c r="F191">
        <v>73</v>
      </c>
      <c r="G191">
        <v>2</v>
      </c>
      <c r="I191">
        <v>3</v>
      </c>
      <c r="J191">
        <v>9.6999999999999993</v>
      </c>
      <c r="K191">
        <v>69</v>
      </c>
      <c r="M191" s="1">
        <v>58</v>
      </c>
    </row>
    <row r="192" spans="1:13" x14ac:dyDescent="0.3">
      <c r="A192">
        <v>2018</v>
      </c>
      <c r="B192">
        <v>110</v>
      </c>
      <c r="C192">
        <v>6</v>
      </c>
      <c r="D192" s="1">
        <v>1676</v>
      </c>
      <c r="E192" s="1" t="s">
        <v>16</v>
      </c>
      <c r="F192">
        <v>202</v>
      </c>
      <c r="G192">
        <v>1</v>
      </c>
      <c r="J192">
        <v>16.7</v>
      </c>
      <c r="K192">
        <v>79</v>
      </c>
      <c r="M192" s="1">
        <v>65</v>
      </c>
    </row>
    <row r="193" spans="1:16" x14ac:dyDescent="0.3">
      <c r="A193">
        <v>2018</v>
      </c>
      <c r="B193">
        <v>110</v>
      </c>
      <c r="C193">
        <v>7</v>
      </c>
      <c r="D193" s="1">
        <v>1677</v>
      </c>
      <c r="E193" s="1" t="s">
        <v>36</v>
      </c>
      <c r="F193">
        <v>202</v>
      </c>
      <c r="G193">
        <v>1</v>
      </c>
      <c r="J193">
        <v>12.4</v>
      </c>
      <c r="K193">
        <v>69</v>
      </c>
      <c r="L193">
        <v>35</v>
      </c>
      <c r="M193" s="1">
        <v>59</v>
      </c>
      <c r="N193" s="1">
        <v>8</v>
      </c>
    </row>
    <row r="194" spans="1:16" x14ac:dyDescent="0.3">
      <c r="A194">
        <v>2018</v>
      </c>
      <c r="B194">
        <v>110</v>
      </c>
      <c r="C194">
        <v>8</v>
      </c>
      <c r="D194" s="1">
        <v>1678</v>
      </c>
      <c r="E194" s="1" t="s">
        <v>16</v>
      </c>
      <c r="F194">
        <v>202</v>
      </c>
      <c r="G194">
        <v>1</v>
      </c>
      <c r="J194">
        <v>14.5</v>
      </c>
      <c r="K194">
        <v>78</v>
      </c>
      <c r="M194" s="1">
        <v>66</v>
      </c>
    </row>
    <row r="195" spans="1:16" x14ac:dyDescent="0.3">
      <c r="A195">
        <v>2018</v>
      </c>
      <c r="B195">
        <v>110</v>
      </c>
      <c r="C195">
        <v>9</v>
      </c>
      <c r="D195" s="1">
        <v>1679</v>
      </c>
      <c r="E195" s="1" t="s">
        <v>25</v>
      </c>
      <c r="F195">
        <v>202</v>
      </c>
      <c r="G195">
        <v>1</v>
      </c>
      <c r="J195">
        <v>13.3</v>
      </c>
      <c r="K195">
        <v>74</v>
      </c>
      <c r="L195">
        <v>39</v>
      </c>
      <c r="M195" s="1">
        <v>63</v>
      </c>
      <c r="N195" s="1">
        <v>9</v>
      </c>
    </row>
    <row r="196" spans="1:16" x14ac:dyDescent="0.3">
      <c r="A196">
        <v>2018</v>
      </c>
      <c r="B196">
        <v>110</v>
      </c>
      <c r="C196">
        <v>10</v>
      </c>
      <c r="D196" s="1">
        <v>1680</v>
      </c>
      <c r="E196" s="1" t="s">
        <v>16</v>
      </c>
      <c r="F196">
        <v>202</v>
      </c>
      <c r="G196">
        <v>1</v>
      </c>
      <c r="J196">
        <v>11.4</v>
      </c>
      <c r="K196">
        <v>80</v>
      </c>
      <c r="M196" s="1">
        <v>70</v>
      </c>
    </row>
    <row r="197" spans="1:16" x14ac:dyDescent="0.3">
      <c r="A197">
        <v>2018</v>
      </c>
      <c r="B197">
        <v>110</v>
      </c>
      <c r="C197">
        <v>11</v>
      </c>
      <c r="D197" s="1">
        <v>1681</v>
      </c>
      <c r="E197" s="1" t="s">
        <v>16</v>
      </c>
      <c r="F197">
        <v>202</v>
      </c>
      <c r="G197">
        <v>1</v>
      </c>
      <c r="J197">
        <v>12.8</v>
      </c>
      <c r="K197">
        <v>79</v>
      </c>
      <c r="M197" s="1">
        <v>69</v>
      </c>
    </row>
    <row r="198" spans="1:16" x14ac:dyDescent="0.3">
      <c r="A198">
        <v>2018</v>
      </c>
      <c r="B198">
        <v>110</v>
      </c>
      <c r="C198">
        <v>12</v>
      </c>
      <c r="D198" s="1">
        <v>1682</v>
      </c>
      <c r="E198" s="1" t="s">
        <v>16</v>
      </c>
      <c r="F198">
        <v>202</v>
      </c>
      <c r="G198">
        <v>1</v>
      </c>
      <c r="J198">
        <v>11</v>
      </c>
      <c r="K198">
        <v>80</v>
      </c>
      <c r="M198" s="1">
        <v>68</v>
      </c>
    </row>
    <row r="199" spans="1:16" x14ac:dyDescent="0.3">
      <c r="A199">
        <v>2018</v>
      </c>
      <c r="B199">
        <v>110</v>
      </c>
      <c r="C199">
        <v>13</v>
      </c>
      <c r="D199" s="1">
        <v>1683</v>
      </c>
      <c r="E199" s="1" t="s">
        <v>16</v>
      </c>
      <c r="F199">
        <v>202</v>
      </c>
      <c r="G199">
        <v>1</v>
      </c>
      <c r="J199">
        <v>14.3</v>
      </c>
      <c r="K199">
        <v>83</v>
      </c>
      <c r="M199" s="1">
        <v>72</v>
      </c>
    </row>
    <row r="200" spans="1:16" x14ac:dyDescent="0.3">
      <c r="A200">
        <v>2018</v>
      </c>
      <c r="B200">
        <v>110</v>
      </c>
      <c r="C200">
        <v>14</v>
      </c>
      <c r="D200" s="1">
        <v>1684</v>
      </c>
      <c r="E200" s="1" t="s">
        <v>25</v>
      </c>
      <c r="F200">
        <v>202</v>
      </c>
      <c r="G200">
        <v>1</v>
      </c>
      <c r="J200">
        <v>8.6999999999999993</v>
      </c>
      <c r="K200">
        <v>57</v>
      </c>
      <c r="M200" s="1">
        <v>48</v>
      </c>
    </row>
    <row r="201" spans="1:16" x14ac:dyDescent="0.3">
      <c r="A201">
        <v>2018</v>
      </c>
      <c r="B201">
        <v>110</v>
      </c>
      <c r="C201">
        <v>15</v>
      </c>
      <c r="D201" s="1">
        <v>1685</v>
      </c>
      <c r="E201" s="1" t="s">
        <v>16</v>
      </c>
      <c r="F201">
        <v>73</v>
      </c>
      <c r="G201">
        <v>1</v>
      </c>
      <c r="J201">
        <v>11.6</v>
      </c>
      <c r="K201">
        <v>83</v>
      </c>
      <c r="M201" s="1">
        <v>72</v>
      </c>
    </row>
    <row r="202" spans="1:16" x14ac:dyDescent="0.3">
      <c r="A202">
        <v>2018</v>
      </c>
      <c r="B202">
        <v>110</v>
      </c>
      <c r="C202">
        <v>16</v>
      </c>
      <c r="D202" s="1">
        <v>1686</v>
      </c>
      <c r="E202" s="1" t="s">
        <v>16</v>
      </c>
      <c r="F202">
        <v>73</v>
      </c>
      <c r="G202">
        <v>1</v>
      </c>
      <c r="J202">
        <v>12.6</v>
      </c>
      <c r="K202">
        <v>75</v>
      </c>
      <c r="L202">
        <v>57</v>
      </c>
      <c r="M202" s="1">
        <v>63</v>
      </c>
      <c r="N202" s="1">
        <v>5</v>
      </c>
    </row>
    <row r="203" spans="1:16" x14ac:dyDescent="0.3">
      <c r="A203">
        <v>2018</v>
      </c>
      <c r="B203">
        <v>110</v>
      </c>
      <c r="C203">
        <v>17</v>
      </c>
      <c r="D203" s="1">
        <v>1687</v>
      </c>
      <c r="E203" s="1" t="s">
        <v>25</v>
      </c>
      <c r="F203">
        <v>73</v>
      </c>
      <c r="G203">
        <v>1</v>
      </c>
      <c r="J203">
        <v>6.4</v>
      </c>
      <c r="K203">
        <v>45</v>
      </c>
      <c r="L203">
        <v>40</v>
      </c>
      <c r="M203" s="1">
        <v>29</v>
      </c>
      <c r="N203" s="1">
        <v>2</v>
      </c>
      <c r="P203" t="s">
        <v>43</v>
      </c>
    </row>
    <row r="204" spans="1:16" x14ac:dyDescent="0.3">
      <c r="A204">
        <v>2018</v>
      </c>
      <c r="B204">
        <v>110</v>
      </c>
      <c r="C204">
        <v>18</v>
      </c>
      <c r="D204" s="1">
        <v>1688</v>
      </c>
      <c r="E204" s="1" t="s">
        <v>16</v>
      </c>
      <c r="F204">
        <v>73</v>
      </c>
      <c r="G204">
        <v>1</v>
      </c>
      <c r="J204">
        <v>15.2</v>
      </c>
      <c r="K204">
        <v>82</v>
      </c>
      <c r="M204" s="1">
        <v>69</v>
      </c>
    </row>
    <row r="205" spans="1:16" x14ac:dyDescent="0.3">
      <c r="A205">
        <v>2018</v>
      </c>
      <c r="B205">
        <v>110</v>
      </c>
      <c r="C205">
        <v>19</v>
      </c>
      <c r="D205" s="1">
        <v>1689</v>
      </c>
      <c r="E205" s="1" t="s">
        <v>25</v>
      </c>
      <c r="F205">
        <v>202</v>
      </c>
      <c r="G205">
        <v>1</v>
      </c>
      <c r="J205">
        <v>6.6</v>
      </c>
      <c r="K205">
        <v>54</v>
      </c>
      <c r="L205">
        <v>33</v>
      </c>
      <c r="M205" s="1">
        <v>37</v>
      </c>
      <c r="N205" s="1">
        <v>5</v>
      </c>
    </row>
    <row r="206" spans="1:16" x14ac:dyDescent="0.3">
      <c r="A206">
        <v>2018</v>
      </c>
      <c r="B206">
        <v>110</v>
      </c>
      <c r="C206">
        <v>20</v>
      </c>
      <c r="D206" s="1">
        <v>1690</v>
      </c>
      <c r="E206" s="1" t="s">
        <v>16</v>
      </c>
      <c r="F206">
        <v>202</v>
      </c>
      <c r="G206">
        <v>1</v>
      </c>
      <c r="J206">
        <v>13.2</v>
      </c>
      <c r="K206">
        <v>65</v>
      </c>
      <c r="M206" s="1">
        <v>57</v>
      </c>
    </row>
    <row r="207" spans="1:16" x14ac:dyDescent="0.3">
      <c r="A207">
        <v>2018</v>
      </c>
      <c r="B207">
        <v>117</v>
      </c>
      <c r="C207">
        <v>1</v>
      </c>
      <c r="D207" s="1">
        <v>1778</v>
      </c>
      <c r="E207" s="1" t="s">
        <v>16</v>
      </c>
      <c r="F207">
        <v>202</v>
      </c>
      <c r="G207">
        <v>1</v>
      </c>
      <c r="J207">
        <v>8.6</v>
      </c>
      <c r="K207">
        <v>40</v>
      </c>
      <c r="M207" s="1">
        <v>21</v>
      </c>
      <c r="P207" t="s">
        <v>44</v>
      </c>
    </row>
    <row r="208" spans="1:16" x14ac:dyDescent="0.3">
      <c r="A208">
        <v>2018</v>
      </c>
      <c r="B208">
        <v>117</v>
      </c>
      <c r="C208">
        <v>2</v>
      </c>
      <c r="D208" s="1">
        <v>1779</v>
      </c>
      <c r="E208" s="1" t="s">
        <v>16</v>
      </c>
      <c r="F208">
        <v>202</v>
      </c>
      <c r="G208">
        <v>1</v>
      </c>
      <c r="J208">
        <v>7.6</v>
      </c>
      <c r="K208">
        <v>41</v>
      </c>
      <c r="M208" s="1">
        <v>25</v>
      </c>
    </row>
    <row r="209" spans="1:16" x14ac:dyDescent="0.3">
      <c r="A209">
        <v>2018</v>
      </c>
      <c r="B209">
        <v>117</v>
      </c>
      <c r="C209">
        <v>3</v>
      </c>
      <c r="D209" s="1">
        <v>1780</v>
      </c>
      <c r="E209" s="1" t="s">
        <v>16</v>
      </c>
      <c r="F209">
        <v>202</v>
      </c>
      <c r="G209">
        <v>1</v>
      </c>
      <c r="J209">
        <v>12.9</v>
      </c>
      <c r="K209">
        <v>60</v>
      </c>
      <c r="M209" s="1">
        <v>45</v>
      </c>
    </row>
    <row r="210" spans="1:16" x14ac:dyDescent="0.3">
      <c r="A210">
        <v>2018</v>
      </c>
      <c r="B210">
        <v>117</v>
      </c>
      <c r="C210">
        <v>4</v>
      </c>
      <c r="D210" s="1">
        <v>1781</v>
      </c>
      <c r="E210" s="1" t="s">
        <v>16</v>
      </c>
      <c r="F210">
        <v>202</v>
      </c>
      <c r="G210">
        <v>1</v>
      </c>
      <c r="J210">
        <v>13.3</v>
      </c>
      <c r="K210">
        <v>57</v>
      </c>
      <c r="M210" s="1">
        <v>47</v>
      </c>
    </row>
    <row r="211" spans="1:16" x14ac:dyDescent="0.3">
      <c r="A211">
        <v>2018</v>
      </c>
      <c r="B211">
        <v>117</v>
      </c>
      <c r="C211">
        <v>5</v>
      </c>
      <c r="D211" s="1">
        <v>1782</v>
      </c>
      <c r="E211" s="1" t="s">
        <v>16</v>
      </c>
      <c r="F211">
        <v>202</v>
      </c>
      <c r="G211">
        <v>1</v>
      </c>
      <c r="J211">
        <v>25.7</v>
      </c>
      <c r="K211">
        <v>89</v>
      </c>
      <c r="M211" s="1">
        <v>78</v>
      </c>
      <c r="P211" t="s">
        <v>45</v>
      </c>
    </row>
    <row r="212" spans="1:16" x14ac:dyDescent="0.3">
      <c r="A212">
        <v>2018</v>
      </c>
      <c r="B212">
        <v>117</v>
      </c>
      <c r="C212">
        <v>6</v>
      </c>
      <c r="D212" s="1">
        <v>1783</v>
      </c>
      <c r="E212" s="1" t="s">
        <v>16</v>
      </c>
      <c r="F212">
        <v>73</v>
      </c>
      <c r="G212">
        <v>1</v>
      </c>
      <c r="J212">
        <v>11.9</v>
      </c>
      <c r="K212">
        <v>53</v>
      </c>
      <c r="M212" s="1">
        <v>33</v>
      </c>
    </row>
    <row r="213" spans="1:16" x14ac:dyDescent="0.3">
      <c r="A213">
        <v>2018</v>
      </c>
      <c r="B213">
        <v>117</v>
      </c>
      <c r="C213">
        <v>7</v>
      </c>
      <c r="D213" s="1">
        <v>1784</v>
      </c>
      <c r="E213" s="1" t="s">
        <v>19</v>
      </c>
      <c r="F213">
        <v>202</v>
      </c>
      <c r="G213">
        <v>1</v>
      </c>
      <c r="J213">
        <v>1.1000000000000001</v>
      </c>
      <c r="P213" t="s">
        <v>43</v>
      </c>
    </row>
    <row r="214" spans="1:16" x14ac:dyDescent="0.3">
      <c r="A214">
        <v>2018</v>
      </c>
      <c r="B214">
        <v>117</v>
      </c>
      <c r="C214">
        <v>8</v>
      </c>
      <c r="D214" s="1">
        <v>1785</v>
      </c>
      <c r="E214" s="1" t="s">
        <v>16</v>
      </c>
      <c r="F214">
        <v>202</v>
      </c>
      <c r="G214">
        <v>1</v>
      </c>
      <c r="J214">
        <v>3.3</v>
      </c>
    </row>
    <row r="215" spans="1:16" x14ac:dyDescent="0.3">
      <c r="A215">
        <v>2018</v>
      </c>
      <c r="B215">
        <v>117</v>
      </c>
      <c r="C215">
        <v>9</v>
      </c>
      <c r="D215" s="1">
        <v>1786</v>
      </c>
      <c r="E215" s="1" t="s">
        <v>16</v>
      </c>
      <c r="F215">
        <v>202</v>
      </c>
      <c r="G215">
        <v>1</v>
      </c>
      <c r="J215">
        <v>2.1</v>
      </c>
    </row>
    <row r="216" spans="1:16" x14ac:dyDescent="0.3">
      <c r="A216">
        <v>2018</v>
      </c>
      <c r="B216">
        <v>117</v>
      </c>
      <c r="C216">
        <v>10</v>
      </c>
      <c r="D216" s="1">
        <v>1787</v>
      </c>
      <c r="E216" s="1" t="s">
        <v>16</v>
      </c>
      <c r="F216">
        <v>202</v>
      </c>
      <c r="G216">
        <v>1</v>
      </c>
      <c r="J216">
        <v>1.3</v>
      </c>
    </row>
    <row r="217" spans="1:16" x14ac:dyDescent="0.3">
      <c r="A217">
        <v>2018</v>
      </c>
      <c r="B217">
        <v>117</v>
      </c>
      <c r="C217">
        <v>11</v>
      </c>
      <c r="D217" s="1">
        <v>1788</v>
      </c>
      <c r="E217" s="1" t="s">
        <v>16</v>
      </c>
      <c r="F217">
        <v>202</v>
      </c>
      <c r="G217">
        <v>1</v>
      </c>
      <c r="J217">
        <v>2.2000000000000002</v>
      </c>
    </row>
    <row r="218" spans="1:16" x14ac:dyDescent="0.3">
      <c r="A218">
        <v>2018</v>
      </c>
      <c r="B218">
        <v>117</v>
      </c>
      <c r="C218">
        <v>12</v>
      </c>
      <c r="D218" s="1">
        <v>1789</v>
      </c>
      <c r="E218" s="1" t="s">
        <v>19</v>
      </c>
      <c r="F218">
        <v>202</v>
      </c>
      <c r="G218">
        <v>1</v>
      </c>
      <c r="J218">
        <v>1.7</v>
      </c>
      <c r="P218" t="s">
        <v>43</v>
      </c>
    </row>
    <row r="219" spans="1:16" x14ac:dyDescent="0.3">
      <c r="A219">
        <v>2018</v>
      </c>
      <c r="B219">
        <v>118</v>
      </c>
      <c r="C219">
        <v>1</v>
      </c>
      <c r="D219" s="1">
        <v>1790</v>
      </c>
      <c r="E219" s="1" t="s">
        <v>16</v>
      </c>
      <c r="F219">
        <v>202</v>
      </c>
      <c r="G219">
        <v>1</v>
      </c>
      <c r="J219">
        <v>10.6</v>
      </c>
      <c r="K219">
        <v>53</v>
      </c>
      <c r="M219" s="1">
        <v>38</v>
      </c>
    </row>
    <row r="220" spans="1:16" x14ac:dyDescent="0.3">
      <c r="A220">
        <v>2018</v>
      </c>
      <c r="B220">
        <v>118</v>
      </c>
      <c r="C220">
        <v>2</v>
      </c>
      <c r="D220" s="1">
        <v>1791</v>
      </c>
      <c r="E220" s="1" t="s">
        <v>16</v>
      </c>
      <c r="F220">
        <v>202</v>
      </c>
      <c r="G220">
        <v>1</v>
      </c>
      <c r="J220">
        <v>18.2</v>
      </c>
      <c r="K220">
        <v>72</v>
      </c>
      <c r="M220" s="1">
        <v>56</v>
      </c>
    </row>
    <row r="221" spans="1:16" x14ac:dyDescent="0.3">
      <c r="A221">
        <v>2018</v>
      </c>
      <c r="B221">
        <v>118</v>
      </c>
      <c r="C221">
        <v>3</v>
      </c>
      <c r="D221" s="1">
        <v>1792</v>
      </c>
      <c r="E221" s="1" t="s">
        <v>34</v>
      </c>
      <c r="F221">
        <v>202</v>
      </c>
      <c r="G221">
        <v>2</v>
      </c>
      <c r="I221">
        <v>1</v>
      </c>
      <c r="J221">
        <v>5.9</v>
      </c>
      <c r="K221">
        <v>25</v>
      </c>
      <c r="M221" s="1">
        <v>12</v>
      </c>
    </row>
    <row r="222" spans="1:16" x14ac:dyDescent="0.3">
      <c r="A222">
        <v>2018</v>
      </c>
      <c r="B222">
        <v>118</v>
      </c>
      <c r="C222">
        <v>4</v>
      </c>
      <c r="D222" s="1">
        <v>1793</v>
      </c>
      <c r="E222" s="1" t="s">
        <v>16</v>
      </c>
      <c r="F222">
        <v>202</v>
      </c>
      <c r="G222">
        <v>1</v>
      </c>
      <c r="J222">
        <v>9.6999999999999993</v>
      </c>
      <c r="K222">
        <v>67</v>
      </c>
      <c r="M222" s="1">
        <v>54</v>
      </c>
    </row>
    <row r="223" spans="1:16" x14ac:dyDescent="0.3">
      <c r="A223">
        <v>2018</v>
      </c>
      <c r="B223">
        <v>118</v>
      </c>
      <c r="C223">
        <v>5</v>
      </c>
      <c r="D223" s="1">
        <v>1794</v>
      </c>
      <c r="E223" s="1" t="s">
        <v>16</v>
      </c>
      <c r="F223">
        <v>202</v>
      </c>
      <c r="G223">
        <v>1</v>
      </c>
      <c r="J223">
        <v>11.4</v>
      </c>
      <c r="K223">
        <v>58</v>
      </c>
      <c r="M223" s="1">
        <v>43</v>
      </c>
    </row>
    <row r="224" spans="1:16" x14ac:dyDescent="0.3">
      <c r="A224">
        <v>2018</v>
      </c>
      <c r="B224">
        <v>118</v>
      </c>
      <c r="C224">
        <v>6</v>
      </c>
      <c r="D224" s="1">
        <v>1795</v>
      </c>
      <c r="E224" s="1" t="s">
        <v>16</v>
      </c>
      <c r="F224">
        <v>202</v>
      </c>
      <c r="G224">
        <v>1</v>
      </c>
      <c r="J224">
        <v>17.899999999999999</v>
      </c>
      <c r="K224">
        <v>74</v>
      </c>
      <c r="M224" s="1">
        <v>62</v>
      </c>
    </row>
    <row r="225" spans="1:16" x14ac:dyDescent="0.3">
      <c r="A225">
        <v>2018</v>
      </c>
      <c r="B225">
        <v>118</v>
      </c>
      <c r="C225">
        <v>7</v>
      </c>
      <c r="D225" s="1">
        <v>1796</v>
      </c>
      <c r="E225" s="1" t="s">
        <v>16</v>
      </c>
      <c r="F225">
        <v>202</v>
      </c>
      <c r="G225">
        <v>1</v>
      </c>
      <c r="J225">
        <v>7.2</v>
      </c>
      <c r="K225">
        <v>43</v>
      </c>
      <c r="M225" s="1">
        <v>21</v>
      </c>
      <c r="P225" t="s">
        <v>33</v>
      </c>
    </row>
    <row r="226" spans="1:16" x14ac:dyDescent="0.3">
      <c r="A226">
        <v>2018</v>
      </c>
      <c r="B226">
        <v>118</v>
      </c>
      <c r="C226">
        <v>8</v>
      </c>
      <c r="D226" s="1">
        <v>1797</v>
      </c>
      <c r="E226" s="1" t="s">
        <v>16</v>
      </c>
      <c r="F226">
        <v>202</v>
      </c>
      <c r="G226">
        <v>1</v>
      </c>
      <c r="J226">
        <v>9.3000000000000007</v>
      </c>
      <c r="K226">
        <v>53</v>
      </c>
      <c r="M226" s="1">
        <v>37</v>
      </c>
    </row>
    <row r="227" spans="1:16" x14ac:dyDescent="0.3">
      <c r="A227">
        <v>2018</v>
      </c>
      <c r="B227">
        <v>118</v>
      </c>
      <c r="C227">
        <v>9</v>
      </c>
      <c r="D227" s="1">
        <v>1798</v>
      </c>
      <c r="E227" s="1" t="s">
        <v>16</v>
      </c>
      <c r="F227">
        <v>202</v>
      </c>
      <c r="G227">
        <v>1</v>
      </c>
      <c r="J227">
        <v>15.8</v>
      </c>
      <c r="K227">
        <v>72</v>
      </c>
      <c r="M227" s="1">
        <v>58</v>
      </c>
    </row>
    <row r="228" spans="1:16" x14ac:dyDescent="0.3">
      <c r="A228">
        <v>2018</v>
      </c>
      <c r="B228">
        <v>118</v>
      </c>
      <c r="C228">
        <v>10</v>
      </c>
      <c r="D228" s="1">
        <v>1799</v>
      </c>
      <c r="E228" s="1" t="s">
        <v>25</v>
      </c>
      <c r="F228">
        <v>202</v>
      </c>
      <c r="G228">
        <v>1</v>
      </c>
      <c r="J228">
        <v>6.7</v>
      </c>
      <c r="K228">
        <v>42</v>
      </c>
      <c r="L228">
        <v>19</v>
      </c>
      <c r="M228" s="1">
        <v>25</v>
      </c>
      <c r="N228" s="1">
        <v>5</v>
      </c>
      <c r="P228" t="s">
        <v>46</v>
      </c>
    </row>
    <row r="229" spans="1:16" x14ac:dyDescent="0.3">
      <c r="A229">
        <v>2018</v>
      </c>
      <c r="B229">
        <v>118</v>
      </c>
      <c r="C229">
        <v>11</v>
      </c>
      <c r="D229" s="1">
        <v>1800</v>
      </c>
      <c r="E229" s="1" t="s">
        <v>16</v>
      </c>
      <c r="F229">
        <v>202</v>
      </c>
      <c r="G229">
        <v>1</v>
      </c>
      <c r="J229">
        <v>6.9</v>
      </c>
      <c r="K229">
        <v>30</v>
      </c>
      <c r="M229" s="1">
        <v>14</v>
      </c>
    </row>
    <row r="230" spans="1:16" x14ac:dyDescent="0.3">
      <c r="A230">
        <v>2018</v>
      </c>
      <c r="B230">
        <v>118</v>
      </c>
      <c r="C230">
        <v>12</v>
      </c>
      <c r="D230" s="1">
        <v>1801</v>
      </c>
      <c r="E230" s="1" t="s">
        <v>16</v>
      </c>
      <c r="F230">
        <v>202</v>
      </c>
      <c r="G230">
        <v>1</v>
      </c>
      <c r="J230">
        <v>15.6</v>
      </c>
      <c r="K230">
        <v>74</v>
      </c>
      <c r="M230" s="1">
        <v>59</v>
      </c>
    </row>
    <row r="231" spans="1:16" x14ac:dyDescent="0.3">
      <c r="A231">
        <v>2018</v>
      </c>
      <c r="B231">
        <v>118</v>
      </c>
      <c r="C231">
        <v>13</v>
      </c>
      <c r="D231" s="1">
        <v>1802</v>
      </c>
      <c r="E231" s="1" t="s">
        <v>16</v>
      </c>
      <c r="F231">
        <v>202</v>
      </c>
      <c r="G231">
        <v>1</v>
      </c>
      <c r="J231">
        <v>15.1</v>
      </c>
      <c r="K231">
        <v>67</v>
      </c>
      <c r="M231" s="1">
        <v>53</v>
      </c>
    </row>
    <row r="232" spans="1:16" x14ac:dyDescent="0.3">
      <c r="A232">
        <v>2018</v>
      </c>
      <c r="B232">
        <v>118</v>
      </c>
      <c r="C232">
        <v>14</v>
      </c>
      <c r="D232" s="1">
        <v>1803</v>
      </c>
      <c r="E232" s="1" t="s">
        <v>16</v>
      </c>
      <c r="F232">
        <v>202</v>
      </c>
      <c r="G232">
        <v>1</v>
      </c>
      <c r="J232">
        <v>20.8</v>
      </c>
      <c r="K232">
        <v>77</v>
      </c>
      <c r="M232" s="1">
        <v>66</v>
      </c>
    </row>
    <row r="233" spans="1:16" x14ac:dyDescent="0.3">
      <c r="A233">
        <v>2018</v>
      </c>
      <c r="B233">
        <v>118</v>
      </c>
      <c r="C233">
        <v>15</v>
      </c>
      <c r="D233" s="1">
        <v>1804</v>
      </c>
      <c r="E233" s="1" t="s">
        <v>16</v>
      </c>
      <c r="F233">
        <v>202</v>
      </c>
      <c r="G233">
        <v>1</v>
      </c>
      <c r="J233">
        <v>6.1</v>
      </c>
      <c r="K233">
        <v>40</v>
      </c>
      <c r="M233" s="1">
        <v>18</v>
      </c>
    </row>
    <row r="234" spans="1:16" x14ac:dyDescent="0.3">
      <c r="A234">
        <v>2018</v>
      </c>
      <c r="B234">
        <v>118</v>
      </c>
      <c r="C234">
        <v>16</v>
      </c>
      <c r="D234" s="1">
        <v>1805</v>
      </c>
      <c r="E234" s="1" t="s">
        <v>16</v>
      </c>
      <c r="F234">
        <v>202</v>
      </c>
      <c r="G234">
        <v>1</v>
      </c>
      <c r="J234">
        <v>15.5</v>
      </c>
      <c r="K234">
        <v>87</v>
      </c>
      <c r="M234" s="1">
        <v>70</v>
      </c>
    </row>
    <row r="235" spans="1:16" x14ac:dyDescent="0.3">
      <c r="A235">
        <v>2018</v>
      </c>
      <c r="B235">
        <v>118</v>
      </c>
      <c r="C235">
        <v>17</v>
      </c>
      <c r="D235" s="1">
        <v>1806</v>
      </c>
      <c r="E235" s="1" t="s">
        <v>16</v>
      </c>
      <c r="F235">
        <v>202</v>
      </c>
      <c r="G235">
        <v>1</v>
      </c>
      <c r="J235">
        <v>17.8</v>
      </c>
      <c r="K235">
        <v>82</v>
      </c>
      <c r="M235" s="1">
        <v>67</v>
      </c>
    </row>
    <row r="236" spans="1:16" x14ac:dyDescent="0.3">
      <c r="A236">
        <v>2018</v>
      </c>
      <c r="B236">
        <v>118</v>
      </c>
      <c r="C236">
        <v>18</v>
      </c>
      <c r="D236" s="1">
        <v>1807</v>
      </c>
      <c r="E236" s="1" t="s">
        <v>16</v>
      </c>
      <c r="F236">
        <v>202</v>
      </c>
      <c r="G236">
        <v>1</v>
      </c>
      <c r="J236">
        <v>13.2</v>
      </c>
      <c r="K236">
        <v>60</v>
      </c>
      <c r="M236" s="1">
        <v>46</v>
      </c>
    </row>
    <row r="237" spans="1:16" x14ac:dyDescent="0.3">
      <c r="A237">
        <v>2018</v>
      </c>
      <c r="B237">
        <v>141</v>
      </c>
      <c r="C237">
        <v>1</v>
      </c>
      <c r="D237" s="1">
        <v>2140</v>
      </c>
      <c r="E237" s="1" t="s">
        <v>16</v>
      </c>
      <c r="F237">
        <v>202</v>
      </c>
      <c r="G237">
        <v>1</v>
      </c>
      <c r="J237">
        <v>11.6</v>
      </c>
      <c r="K237">
        <v>53</v>
      </c>
      <c r="M237" s="1">
        <v>43</v>
      </c>
    </row>
    <row r="238" spans="1:16" x14ac:dyDescent="0.3">
      <c r="A238">
        <v>2018</v>
      </c>
      <c r="B238">
        <v>141</v>
      </c>
      <c r="C238">
        <v>2</v>
      </c>
      <c r="D238" s="1">
        <v>2141</v>
      </c>
      <c r="E238" s="1" t="s">
        <v>16</v>
      </c>
      <c r="F238">
        <v>202</v>
      </c>
      <c r="G238">
        <v>1</v>
      </c>
      <c r="J238">
        <v>11.4</v>
      </c>
      <c r="K238">
        <v>56</v>
      </c>
      <c r="M238" s="1">
        <v>48</v>
      </c>
    </row>
    <row r="239" spans="1:16" x14ac:dyDescent="0.3">
      <c r="A239">
        <v>2018</v>
      </c>
      <c r="B239">
        <v>141</v>
      </c>
      <c r="C239">
        <v>3</v>
      </c>
      <c r="D239" s="1">
        <v>2142</v>
      </c>
      <c r="E239" s="1" t="s">
        <v>16</v>
      </c>
      <c r="F239">
        <v>202</v>
      </c>
      <c r="G239">
        <v>1</v>
      </c>
      <c r="J239">
        <v>14.1</v>
      </c>
      <c r="K239">
        <v>72</v>
      </c>
      <c r="M239" s="1">
        <v>64</v>
      </c>
    </row>
    <row r="240" spans="1:16" x14ac:dyDescent="0.3">
      <c r="A240">
        <v>2018</v>
      </c>
      <c r="B240">
        <v>141</v>
      </c>
      <c r="C240">
        <v>4</v>
      </c>
      <c r="D240" s="1">
        <v>2143</v>
      </c>
      <c r="E240" s="1" t="s">
        <v>16</v>
      </c>
      <c r="F240">
        <v>73</v>
      </c>
      <c r="G240">
        <v>1</v>
      </c>
      <c r="J240">
        <v>5.0999999999999996</v>
      </c>
      <c r="K240">
        <v>38</v>
      </c>
      <c r="M240" s="1">
        <v>25</v>
      </c>
    </row>
    <row r="241" spans="1:16" x14ac:dyDescent="0.3">
      <c r="A241">
        <v>2018</v>
      </c>
      <c r="B241">
        <v>141</v>
      </c>
      <c r="C241">
        <v>5</v>
      </c>
      <c r="D241" s="1">
        <v>2144</v>
      </c>
      <c r="E241" s="1" t="s">
        <v>16</v>
      </c>
      <c r="F241">
        <v>73</v>
      </c>
      <c r="G241">
        <v>1</v>
      </c>
      <c r="J241">
        <v>5.0999999999999996</v>
      </c>
      <c r="K241">
        <v>37</v>
      </c>
      <c r="M241" s="1">
        <v>25</v>
      </c>
    </row>
    <row r="242" spans="1:16" x14ac:dyDescent="0.3">
      <c r="A242">
        <v>2018</v>
      </c>
      <c r="B242">
        <v>141</v>
      </c>
      <c r="C242">
        <v>6</v>
      </c>
      <c r="D242" s="1">
        <v>2145</v>
      </c>
      <c r="E242" s="1" t="s">
        <v>16</v>
      </c>
      <c r="F242">
        <v>73</v>
      </c>
      <c r="G242">
        <v>1</v>
      </c>
      <c r="J242">
        <v>6.4</v>
      </c>
      <c r="K242">
        <v>47</v>
      </c>
      <c r="M242" s="1">
        <v>30</v>
      </c>
    </row>
    <row r="243" spans="1:16" x14ac:dyDescent="0.3">
      <c r="A243">
        <v>2018</v>
      </c>
      <c r="B243">
        <v>141</v>
      </c>
      <c r="C243">
        <v>7</v>
      </c>
      <c r="D243" s="1">
        <v>2146</v>
      </c>
      <c r="E243" s="1" t="s">
        <v>16</v>
      </c>
      <c r="F243">
        <v>73</v>
      </c>
      <c r="G243">
        <v>1</v>
      </c>
      <c r="J243">
        <v>9.4</v>
      </c>
      <c r="K243">
        <v>59</v>
      </c>
      <c r="M243" s="1">
        <v>50</v>
      </c>
    </row>
    <row r="244" spans="1:16" x14ac:dyDescent="0.3">
      <c r="A244">
        <v>2018</v>
      </c>
      <c r="B244">
        <v>141</v>
      </c>
      <c r="C244">
        <v>8</v>
      </c>
      <c r="D244" s="1">
        <v>2147</v>
      </c>
      <c r="E244" s="1" t="s">
        <v>16</v>
      </c>
      <c r="F244">
        <v>73</v>
      </c>
      <c r="G244">
        <v>1</v>
      </c>
      <c r="J244">
        <v>6.5</v>
      </c>
      <c r="K244">
        <v>54</v>
      </c>
      <c r="M244" s="1">
        <v>38</v>
      </c>
    </row>
    <row r="245" spans="1:16" x14ac:dyDescent="0.3">
      <c r="A245">
        <v>2018</v>
      </c>
      <c r="B245">
        <v>141</v>
      </c>
      <c r="C245">
        <v>9</v>
      </c>
      <c r="D245" s="1">
        <v>2148</v>
      </c>
      <c r="E245" s="1" t="s">
        <v>16</v>
      </c>
      <c r="F245">
        <v>73</v>
      </c>
      <c r="G245">
        <v>1</v>
      </c>
      <c r="J245">
        <v>5</v>
      </c>
      <c r="K245">
        <v>34</v>
      </c>
      <c r="M245" s="1">
        <v>23</v>
      </c>
    </row>
    <row r="246" spans="1:16" x14ac:dyDescent="0.3">
      <c r="A246">
        <v>2018</v>
      </c>
      <c r="B246">
        <v>141</v>
      </c>
      <c r="C246">
        <v>10</v>
      </c>
      <c r="D246" s="1">
        <v>2149</v>
      </c>
      <c r="E246" s="1" t="s">
        <v>16</v>
      </c>
      <c r="F246">
        <v>202</v>
      </c>
      <c r="G246">
        <v>1</v>
      </c>
      <c r="J246">
        <v>10.8</v>
      </c>
      <c r="K246">
        <v>50</v>
      </c>
      <c r="M246" s="1">
        <v>41</v>
      </c>
    </row>
    <row r="247" spans="1:16" x14ac:dyDescent="0.3">
      <c r="A247">
        <v>2018</v>
      </c>
      <c r="B247">
        <v>141</v>
      </c>
      <c r="C247">
        <v>11</v>
      </c>
      <c r="D247" s="1">
        <v>2150</v>
      </c>
      <c r="E247" s="1" t="s">
        <v>16</v>
      </c>
      <c r="F247">
        <v>202</v>
      </c>
      <c r="G247">
        <v>1</v>
      </c>
      <c r="J247">
        <v>12.8</v>
      </c>
      <c r="K247">
        <v>40</v>
      </c>
      <c r="M247" s="1">
        <v>31</v>
      </c>
    </row>
    <row r="248" spans="1:16" x14ac:dyDescent="0.3">
      <c r="A248">
        <v>2018</v>
      </c>
      <c r="B248">
        <v>141</v>
      </c>
      <c r="C248">
        <v>12</v>
      </c>
      <c r="D248" s="1">
        <v>2151</v>
      </c>
      <c r="E248" s="1" t="s">
        <v>34</v>
      </c>
      <c r="F248">
        <v>202</v>
      </c>
      <c r="G248">
        <v>2</v>
      </c>
      <c r="I248">
        <v>2</v>
      </c>
      <c r="J248">
        <v>10.3</v>
      </c>
      <c r="K248">
        <v>43</v>
      </c>
      <c r="M248" s="1">
        <v>35</v>
      </c>
      <c r="O248">
        <v>40</v>
      </c>
      <c r="P248" t="s">
        <v>47</v>
      </c>
    </row>
    <row r="249" spans="1:16" x14ac:dyDescent="0.3">
      <c r="A249">
        <v>2018</v>
      </c>
      <c r="B249">
        <v>141</v>
      </c>
      <c r="C249">
        <v>13</v>
      </c>
      <c r="D249" s="1">
        <v>2152</v>
      </c>
      <c r="E249" s="1" t="s">
        <v>16</v>
      </c>
      <c r="F249">
        <v>202</v>
      </c>
      <c r="G249">
        <v>1</v>
      </c>
      <c r="J249">
        <v>16</v>
      </c>
      <c r="K249">
        <v>69</v>
      </c>
      <c r="M249" s="1">
        <v>58</v>
      </c>
    </row>
    <row r="250" spans="1:16" x14ac:dyDescent="0.3">
      <c r="A250">
        <v>2018</v>
      </c>
      <c r="B250">
        <v>141</v>
      </c>
      <c r="C250">
        <v>14</v>
      </c>
      <c r="D250" s="1">
        <v>2153</v>
      </c>
      <c r="E250" s="1" t="s">
        <v>16</v>
      </c>
      <c r="F250">
        <v>202</v>
      </c>
      <c r="G250">
        <v>1</v>
      </c>
      <c r="J250">
        <v>10.8</v>
      </c>
      <c r="K250">
        <v>66</v>
      </c>
      <c r="M250" s="1">
        <v>54</v>
      </c>
    </row>
    <row r="251" spans="1:16" x14ac:dyDescent="0.3">
      <c r="A251">
        <v>2018</v>
      </c>
      <c r="B251">
        <v>141</v>
      </c>
      <c r="C251">
        <v>15</v>
      </c>
      <c r="D251" s="1">
        <v>2154</v>
      </c>
      <c r="E251" s="1" t="s">
        <v>16</v>
      </c>
      <c r="F251">
        <v>202</v>
      </c>
      <c r="G251">
        <v>1</v>
      </c>
      <c r="J251">
        <v>14.6</v>
      </c>
      <c r="K251">
        <v>71</v>
      </c>
      <c r="M251" s="1">
        <v>61</v>
      </c>
    </row>
    <row r="252" spans="1:16" x14ac:dyDescent="0.3">
      <c r="A252">
        <v>2018</v>
      </c>
      <c r="B252">
        <v>141</v>
      </c>
      <c r="C252">
        <v>16</v>
      </c>
      <c r="D252" s="1">
        <v>2155</v>
      </c>
      <c r="E252" s="1" t="s">
        <v>19</v>
      </c>
      <c r="F252">
        <v>202</v>
      </c>
      <c r="G252">
        <v>1</v>
      </c>
      <c r="J252">
        <v>10.6</v>
      </c>
      <c r="K252">
        <v>57</v>
      </c>
      <c r="M252" s="1">
        <v>46</v>
      </c>
      <c r="P252" t="s">
        <v>48</v>
      </c>
    </row>
    <row r="253" spans="1:16" x14ac:dyDescent="0.3">
      <c r="A253">
        <v>2018</v>
      </c>
      <c r="B253">
        <v>141</v>
      </c>
      <c r="C253">
        <v>17</v>
      </c>
      <c r="D253" s="1">
        <v>2156</v>
      </c>
      <c r="E253" s="1" t="s">
        <v>16</v>
      </c>
      <c r="F253">
        <v>202</v>
      </c>
      <c r="G253">
        <v>1</v>
      </c>
      <c r="J253">
        <v>14.9</v>
      </c>
      <c r="K253">
        <v>77</v>
      </c>
      <c r="M253" s="1">
        <v>68</v>
      </c>
    </row>
    <row r="254" spans="1:16" x14ac:dyDescent="0.3">
      <c r="A254">
        <v>2018</v>
      </c>
      <c r="B254">
        <v>149</v>
      </c>
      <c r="C254">
        <v>1</v>
      </c>
      <c r="D254" s="1">
        <v>2281</v>
      </c>
      <c r="E254" s="1" t="s">
        <v>35</v>
      </c>
      <c r="F254">
        <v>202</v>
      </c>
      <c r="G254">
        <v>1</v>
      </c>
      <c r="J254">
        <v>16.7</v>
      </c>
      <c r="K254">
        <v>67</v>
      </c>
      <c r="M254" s="1">
        <v>62</v>
      </c>
    </row>
    <row r="255" spans="1:16" x14ac:dyDescent="0.3">
      <c r="A255">
        <v>2018</v>
      </c>
      <c r="B255">
        <v>149</v>
      </c>
      <c r="C255">
        <v>2</v>
      </c>
      <c r="D255" s="1">
        <v>2282</v>
      </c>
      <c r="E255" s="1" t="s">
        <v>35</v>
      </c>
      <c r="F255">
        <v>202</v>
      </c>
      <c r="G255">
        <v>1</v>
      </c>
      <c r="J255">
        <v>13.5</v>
      </c>
      <c r="K255">
        <v>66</v>
      </c>
      <c r="M255" s="1">
        <v>59</v>
      </c>
    </row>
    <row r="256" spans="1:16" x14ac:dyDescent="0.3">
      <c r="A256">
        <v>2018</v>
      </c>
      <c r="B256">
        <v>149</v>
      </c>
      <c r="C256">
        <v>3</v>
      </c>
      <c r="D256" s="1">
        <v>2283</v>
      </c>
      <c r="E256" s="1" t="s">
        <v>35</v>
      </c>
      <c r="F256">
        <v>202</v>
      </c>
      <c r="G256">
        <v>1</v>
      </c>
      <c r="J256">
        <v>16</v>
      </c>
      <c r="K256">
        <v>72</v>
      </c>
      <c r="M256" s="1">
        <v>65</v>
      </c>
    </row>
    <row r="257" spans="1:16" x14ac:dyDescent="0.3">
      <c r="A257">
        <v>2018</v>
      </c>
      <c r="B257">
        <v>149</v>
      </c>
      <c r="C257">
        <v>4</v>
      </c>
      <c r="D257" s="1">
        <v>2284</v>
      </c>
      <c r="E257" s="1" t="s">
        <v>35</v>
      </c>
      <c r="F257">
        <v>202</v>
      </c>
      <c r="G257">
        <v>1</v>
      </c>
      <c r="J257">
        <v>11.4</v>
      </c>
      <c r="K257">
        <v>60</v>
      </c>
      <c r="M257" s="1">
        <v>48</v>
      </c>
      <c r="O257">
        <v>1</v>
      </c>
    </row>
    <row r="258" spans="1:16" x14ac:dyDescent="0.3">
      <c r="A258">
        <v>2018</v>
      </c>
      <c r="B258">
        <v>149</v>
      </c>
      <c r="C258">
        <v>5</v>
      </c>
      <c r="D258" s="1">
        <v>2285</v>
      </c>
      <c r="E258" s="1" t="s">
        <v>35</v>
      </c>
      <c r="F258">
        <v>202</v>
      </c>
      <c r="G258">
        <v>1</v>
      </c>
      <c r="J258">
        <v>11.5</v>
      </c>
      <c r="K258">
        <v>58</v>
      </c>
      <c r="M258" s="1">
        <v>46</v>
      </c>
    </row>
    <row r="259" spans="1:16" x14ac:dyDescent="0.3">
      <c r="A259">
        <v>2018</v>
      </c>
      <c r="B259">
        <v>149</v>
      </c>
      <c r="C259">
        <v>6</v>
      </c>
      <c r="D259" s="1">
        <v>2286</v>
      </c>
      <c r="E259" s="1" t="s">
        <v>16</v>
      </c>
      <c r="F259">
        <v>202</v>
      </c>
      <c r="G259">
        <v>1</v>
      </c>
      <c r="J259">
        <v>16.7</v>
      </c>
      <c r="K259">
        <v>82</v>
      </c>
      <c r="M259" s="1">
        <v>73</v>
      </c>
    </row>
    <row r="260" spans="1:16" x14ac:dyDescent="0.3">
      <c r="A260">
        <v>2018</v>
      </c>
      <c r="B260">
        <v>149</v>
      </c>
      <c r="C260">
        <v>7</v>
      </c>
      <c r="D260" s="1">
        <v>2287</v>
      </c>
      <c r="E260" s="1" t="s">
        <v>35</v>
      </c>
      <c r="F260">
        <v>202</v>
      </c>
      <c r="G260">
        <v>1</v>
      </c>
      <c r="J260">
        <v>12.4</v>
      </c>
      <c r="K260">
        <v>58</v>
      </c>
      <c r="M260" s="1">
        <v>48</v>
      </c>
      <c r="O260">
        <v>2</v>
      </c>
    </row>
    <row r="261" spans="1:16" x14ac:dyDescent="0.3">
      <c r="A261">
        <v>2018</v>
      </c>
      <c r="B261">
        <v>149</v>
      </c>
      <c r="C261">
        <v>8</v>
      </c>
      <c r="D261" s="1">
        <v>2288</v>
      </c>
      <c r="E261" s="1" t="s">
        <v>35</v>
      </c>
      <c r="F261">
        <v>202</v>
      </c>
      <c r="G261">
        <v>1</v>
      </c>
      <c r="J261">
        <v>12.2</v>
      </c>
      <c r="K261">
        <v>55</v>
      </c>
      <c r="M261" s="1">
        <v>40</v>
      </c>
      <c r="O261">
        <v>2</v>
      </c>
      <c r="P261" t="s">
        <v>49</v>
      </c>
    </row>
    <row r="262" spans="1:16" x14ac:dyDescent="0.3">
      <c r="A262">
        <v>2018</v>
      </c>
      <c r="B262">
        <v>149</v>
      </c>
      <c r="C262">
        <v>9</v>
      </c>
      <c r="D262" s="1">
        <v>2289</v>
      </c>
      <c r="E262" s="1" t="s">
        <v>35</v>
      </c>
      <c r="F262">
        <v>202</v>
      </c>
      <c r="G262">
        <v>1</v>
      </c>
      <c r="J262">
        <v>13.9</v>
      </c>
      <c r="K262">
        <v>60</v>
      </c>
      <c r="M262" s="1">
        <v>52</v>
      </c>
      <c r="P262" t="s">
        <v>49</v>
      </c>
    </row>
    <row r="263" spans="1:16" x14ac:dyDescent="0.3">
      <c r="A263">
        <v>2018</v>
      </c>
      <c r="B263">
        <v>149</v>
      </c>
      <c r="C263">
        <v>10</v>
      </c>
      <c r="D263" s="1">
        <v>2290</v>
      </c>
      <c r="E263" s="1" t="s">
        <v>16</v>
      </c>
      <c r="F263">
        <v>202</v>
      </c>
      <c r="G263">
        <v>1</v>
      </c>
      <c r="J263">
        <v>16.100000000000001</v>
      </c>
      <c r="K263">
        <v>78</v>
      </c>
      <c r="M263" s="1">
        <v>68</v>
      </c>
    </row>
    <row r="264" spans="1:16" x14ac:dyDescent="0.3">
      <c r="A264">
        <v>2018</v>
      </c>
      <c r="B264">
        <v>149</v>
      </c>
      <c r="C264">
        <v>11</v>
      </c>
      <c r="D264" s="1">
        <v>2291</v>
      </c>
      <c r="E264" s="1" t="s">
        <v>25</v>
      </c>
      <c r="F264">
        <v>202</v>
      </c>
      <c r="G264">
        <v>1</v>
      </c>
      <c r="J264">
        <v>5.5</v>
      </c>
      <c r="K264">
        <v>35</v>
      </c>
      <c r="M264" s="1">
        <v>22</v>
      </c>
      <c r="P264" t="s">
        <v>43</v>
      </c>
    </row>
    <row r="265" spans="1:16" x14ac:dyDescent="0.3">
      <c r="A265">
        <v>2018</v>
      </c>
      <c r="B265">
        <v>149</v>
      </c>
      <c r="C265">
        <v>12</v>
      </c>
      <c r="D265" s="1">
        <v>2292</v>
      </c>
      <c r="E265" s="1" t="s">
        <v>16</v>
      </c>
      <c r="F265">
        <v>202</v>
      </c>
      <c r="G265">
        <v>1</v>
      </c>
      <c r="J265">
        <v>9.6999999999999993</v>
      </c>
      <c r="K265">
        <v>43</v>
      </c>
      <c r="M265" s="1">
        <v>31</v>
      </c>
      <c r="P265" t="s">
        <v>50</v>
      </c>
    </row>
    <row r="266" spans="1:16" x14ac:dyDescent="0.3">
      <c r="A266">
        <v>2018</v>
      </c>
      <c r="B266">
        <v>149</v>
      </c>
      <c r="C266">
        <v>13</v>
      </c>
      <c r="D266" s="1">
        <v>2293</v>
      </c>
      <c r="E266" s="1" t="s">
        <v>35</v>
      </c>
      <c r="F266">
        <v>202</v>
      </c>
      <c r="G266">
        <v>1</v>
      </c>
      <c r="J266">
        <v>5.4</v>
      </c>
      <c r="K266">
        <v>37</v>
      </c>
      <c r="M266" s="1">
        <v>22</v>
      </c>
    </row>
    <row r="267" spans="1:16" x14ac:dyDescent="0.3">
      <c r="A267">
        <v>2018</v>
      </c>
      <c r="B267">
        <v>149</v>
      </c>
      <c r="C267">
        <v>14</v>
      </c>
      <c r="D267" s="1">
        <v>2294</v>
      </c>
      <c r="E267" s="1" t="s">
        <v>35</v>
      </c>
      <c r="F267">
        <v>202</v>
      </c>
      <c r="G267">
        <v>1</v>
      </c>
      <c r="J267">
        <v>8.9</v>
      </c>
      <c r="K267">
        <v>48</v>
      </c>
      <c r="M267" s="1">
        <v>40</v>
      </c>
    </row>
    <row r="268" spans="1:16" x14ac:dyDescent="0.3">
      <c r="A268">
        <v>2018</v>
      </c>
      <c r="B268">
        <v>149</v>
      </c>
      <c r="C268">
        <v>15</v>
      </c>
      <c r="D268" s="1">
        <v>2295</v>
      </c>
      <c r="E268" s="1" t="s">
        <v>16</v>
      </c>
      <c r="F268">
        <v>73</v>
      </c>
      <c r="G268">
        <v>1</v>
      </c>
      <c r="J268">
        <v>12.3</v>
      </c>
      <c r="K268">
        <v>75</v>
      </c>
      <c r="M268" s="1">
        <v>66</v>
      </c>
    </row>
    <row r="269" spans="1:16" x14ac:dyDescent="0.3">
      <c r="A269">
        <v>2018</v>
      </c>
      <c r="B269">
        <v>149</v>
      </c>
      <c r="C269">
        <v>16</v>
      </c>
      <c r="D269" s="1">
        <v>2296</v>
      </c>
      <c r="E269" s="1" t="s">
        <v>35</v>
      </c>
      <c r="F269">
        <v>202</v>
      </c>
      <c r="G269">
        <v>1</v>
      </c>
      <c r="J269">
        <v>11.8</v>
      </c>
      <c r="K269">
        <v>44</v>
      </c>
      <c r="M269" s="1">
        <v>33</v>
      </c>
      <c r="P269" t="s">
        <v>50</v>
      </c>
    </row>
    <row r="270" spans="1:16" x14ac:dyDescent="0.3">
      <c r="A270">
        <v>2018</v>
      </c>
      <c r="B270">
        <v>149</v>
      </c>
      <c r="C270">
        <v>17</v>
      </c>
      <c r="D270" s="1">
        <v>2297</v>
      </c>
      <c r="E270" s="1" t="s">
        <v>35</v>
      </c>
      <c r="F270">
        <v>73</v>
      </c>
      <c r="G270">
        <v>1</v>
      </c>
      <c r="J270">
        <v>8.6</v>
      </c>
      <c r="K270">
        <v>63</v>
      </c>
      <c r="M270" s="1">
        <v>47</v>
      </c>
    </row>
    <row r="271" spans="1:16" x14ac:dyDescent="0.3">
      <c r="A271">
        <v>2018</v>
      </c>
      <c r="B271">
        <v>149</v>
      </c>
      <c r="C271">
        <v>18</v>
      </c>
      <c r="D271" s="1">
        <v>2298</v>
      </c>
      <c r="E271" s="1" t="s">
        <v>35</v>
      </c>
      <c r="F271">
        <v>73</v>
      </c>
      <c r="G271">
        <v>1</v>
      </c>
      <c r="J271">
        <v>13.2</v>
      </c>
      <c r="K271">
        <v>79</v>
      </c>
      <c r="M271" s="1">
        <v>72</v>
      </c>
    </row>
    <row r="272" spans="1:16" x14ac:dyDescent="0.3">
      <c r="A272">
        <v>2018</v>
      </c>
      <c r="B272">
        <v>149</v>
      </c>
      <c r="C272">
        <v>19</v>
      </c>
      <c r="D272" s="1">
        <v>2299</v>
      </c>
      <c r="E272" s="1" t="s">
        <v>35</v>
      </c>
      <c r="F272">
        <v>202</v>
      </c>
      <c r="G272">
        <v>1</v>
      </c>
      <c r="J272">
        <v>13.1</v>
      </c>
      <c r="K272">
        <v>60</v>
      </c>
      <c r="M272" s="1">
        <v>52</v>
      </c>
      <c r="P272" t="s">
        <v>50</v>
      </c>
    </row>
    <row r="273" spans="1:16" x14ac:dyDescent="0.3">
      <c r="A273">
        <v>2018</v>
      </c>
      <c r="B273">
        <v>149</v>
      </c>
      <c r="C273">
        <v>20</v>
      </c>
      <c r="D273" s="1">
        <v>2300</v>
      </c>
      <c r="E273" s="1" t="s">
        <v>35</v>
      </c>
      <c r="F273">
        <v>202</v>
      </c>
      <c r="G273">
        <v>1</v>
      </c>
      <c r="J273">
        <v>16.5</v>
      </c>
      <c r="K273">
        <v>69</v>
      </c>
      <c r="M273" s="1">
        <v>58</v>
      </c>
    </row>
    <row r="274" spans="1:16" x14ac:dyDescent="0.3">
      <c r="A274">
        <v>2018</v>
      </c>
      <c r="B274">
        <v>149</v>
      </c>
      <c r="C274">
        <v>21</v>
      </c>
      <c r="D274" s="1">
        <v>2301</v>
      </c>
      <c r="E274" s="1" t="s">
        <v>35</v>
      </c>
      <c r="F274">
        <v>202</v>
      </c>
      <c r="G274">
        <v>1</v>
      </c>
      <c r="J274">
        <v>14.8</v>
      </c>
      <c r="K274">
        <v>68</v>
      </c>
      <c r="M274" s="1">
        <v>61</v>
      </c>
    </row>
    <row r="275" spans="1:16" x14ac:dyDescent="0.3">
      <c r="A275">
        <v>2018</v>
      </c>
      <c r="B275">
        <v>154</v>
      </c>
      <c r="C275">
        <v>1</v>
      </c>
      <c r="D275" s="1">
        <v>2346</v>
      </c>
      <c r="E275" s="1" t="s">
        <v>16</v>
      </c>
      <c r="F275">
        <v>202</v>
      </c>
      <c r="G275">
        <v>1</v>
      </c>
      <c r="J275">
        <v>6.8</v>
      </c>
      <c r="K275">
        <v>33</v>
      </c>
      <c r="M275" s="1">
        <v>19</v>
      </c>
    </row>
    <row r="276" spans="1:16" x14ac:dyDescent="0.3">
      <c r="A276">
        <v>2018</v>
      </c>
      <c r="B276">
        <v>154</v>
      </c>
      <c r="C276">
        <v>2</v>
      </c>
      <c r="D276" s="1">
        <v>2347</v>
      </c>
      <c r="E276" s="1" t="s">
        <v>16</v>
      </c>
      <c r="F276">
        <v>202</v>
      </c>
      <c r="G276">
        <v>1</v>
      </c>
      <c r="J276">
        <v>6.6</v>
      </c>
      <c r="K276">
        <v>32</v>
      </c>
      <c r="M276" s="1">
        <v>18</v>
      </c>
    </row>
    <row r="277" spans="1:16" x14ac:dyDescent="0.3">
      <c r="A277">
        <v>2018</v>
      </c>
      <c r="B277">
        <v>154</v>
      </c>
      <c r="C277">
        <v>3</v>
      </c>
      <c r="D277" s="1">
        <v>2348</v>
      </c>
      <c r="E277" s="1" t="s">
        <v>16</v>
      </c>
      <c r="F277">
        <v>202</v>
      </c>
      <c r="G277">
        <v>1</v>
      </c>
      <c r="J277">
        <v>7.6</v>
      </c>
      <c r="K277">
        <v>37</v>
      </c>
      <c r="M277" s="1">
        <v>23</v>
      </c>
      <c r="P277" t="s">
        <v>51</v>
      </c>
    </row>
    <row r="278" spans="1:16" x14ac:dyDescent="0.3">
      <c r="A278">
        <v>2018</v>
      </c>
      <c r="B278">
        <v>154</v>
      </c>
      <c r="C278">
        <v>4</v>
      </c>
      <c r="D278" s="1">
        <v>2349</v>
      </c>
      <c r="E278" s="1" t="s">
        <v>16</v>
      </c>
      <c r="F278">
        <v>202</v>
      </c>
      <c r="G278">
        <v>1</v>
      </c>
      <c r="J278">
        <v>7.2</v>
      </c>
      <c r="K278">
        <v>39</v>
      </c>
      <c r="M278" s="1">
        <v>27</v>
      </c>
      <c r="P278" t="s">
        <v>52</v>
      </c>
    </row>
    <row r="279" spans="1:16" x14ac:dyDescent="0.3">
      <c r="A279">
        <v>2018</v>
      </c>
      <c r="B279">
        <v>154</v>
      </c>
      <c r="C279">
        <v>5</v>
      </c>
      <c r="D279" s="1">
        <v>2350</v>
      </c>
      <c r="E279" s="1" t="s">
        <v>16</v>
      </c>
      <c r="F279">
        <v>122</v>
      </c>
      <c r="G279">
        <v>1</v>
      </c>
      <c r="J279">
        <v>5.0999999999999996</v>
      </c>
      <c r="K279">
        <v>27</v>
      </c>
      <c r="M279" s="1">
        <v>7</v>
      </c>
    </row>
    <row r="280" spans="1:16" x14ac:dyDescent="0.3">
      <c r="A280">
        <v>2018</v>
      </c>
      <c r="B280">
        <v>154</v>
      </c>
      <c r="C280">
        <v>6</v>
      </c>
      <c r="D280" s="1">
        <v>2351</v>
      </c>
      <c r="E280" s="1" t="s">
        <v>24</v>
      </c>
      <c r="F280">
        <v>122</v>
      </c>
      <c r="G280">
        <v>2</v>
      </c>
      <c r="I280">
        <v>1</v>
      </c>
      <c r="J280">
        <v>7.5</v>
      </c>
      <c r="K280">
        <v>36</v>
      </c>
      <c r="M280" s="1">
        <v>23</v>
      </c>
    </row>
    <row r="281" spans="1:16" x14ac:dyDescent="0.3">
      <c r="A281">
        <v>2018</v>
      </c>
      <c r="B281">
        <v>154</v>
      </c>
      <c r="C281">
        <v>7</v>
      </c>
      <c r="D281" s="1">
        <v>2352</v>
      </c>
      <c r="E281" s="1" t="s">
        <v>16</v>
      </c>
      <c r="F281">
        <v>122</v>
      </c>
      <c r="G281">
        <v>1</v>
      </c>
      <c r="J281">
        <v>6.1</v>
      </c>
      <c r="K281">
        <v>33</v>
      </c>
      <c r="M281" s="1">
        <v>18</v>
      </c>
    </row>
    <row r="282" spans="1:16" x14ac:dyDescent="0.3">
      <c r="A282">
        <v>2018</v>
      </c>
      <c r="B282">
        <v>154</v>
      </c>
      <c r="C282">
        <v>8</v>
      </c>
      <c r="D282" s="1">
        <v>2353</v>
      </c>
      <c r="E282" s="1" t="s">
        <v>16</v>
      </c>
      <c r="F282">
        <v>202</v>
      </c>
      <c r="G282">
        <v>1</v>
      </c>
      <c r="J282">
        <v>7.4</v>
      </c>
      <c r="K282">
        <v>33</v>
      </c>
      <c r="M282" s="1">
        <v>20</v>
      </c>
    </row>
    <row r="283" spans="1:16" x14ac:dyDescent="0.3">
      <c r="A283">
        <v>2018</v>
      </c>
      <c r="B283">
        <v>154</v>
      </c>
      <c r="C283">
        <v>9</v>
      </c>
      <c r="D283" s="1">
        <v>2354</v>
      </c>
      <c r="E283" s="1" t="s">
        <v>16</v>
      </c>
      <c r="F283">
        <v>202</v>
      </c>
      <c r="G283">
        <v>1</v>
      </c>
      <c r="J283">
        <v>11.9</v>
      </c>
      <c r="K283">
        <v>48</v>
      </c>
      <c r="M283" s="1">
        <v>36</v>
      </c>
      <c r="P283" t="s">
        <v>33</v>
      </c>
    </row>
    <row r="284" spans="1:16" x14ac:dyDescent="0.3">
      <c r="A284">
        <v>2018</v>
      </c>
      <c r="B284">
        <v>154</v>
      </c>
      <c r="C284">
        <v>10</v>
      </c>
      <c r="D284" s="1">
        <v>2355</v>
      </c>
      <c r="E284" s="1" t="s">
        <v>24</v>
      </c>
      <c r="F284">
        <v>122</v>
      </c>
      <c r="G284">
        <v>2</v>
      </c>
      <c r="I284">
        <v>1</v>
      </c>
      <c r="J284">
        <v>5.5</v>
      </c>
      <c r="K284">
        <v>30</v>
      </c>
      <c r="M284" s="1">
        <v>14</v>
      </c>
      <c r="P284" t="s">
        <v>53</v>
      </c>
    </row>
    <row r="285" spans="1:16" x14ac:dyDescent="0.3">
      <c r="A285">
        <v>2018</v>
      </c>
      <c r="B285">
        <v>154</v>
      </c>
      <c r="C285">
        <v>11</v>
      </c>
      <c r="D285" s="1">
        <v>2356</v>
      </c>
      <c r="E285" s="1" t="s">
        <v>16</v>
      </c>
      <c r="F285">
        <v>202</v>
      </c>
      <c r="G285">
        <v>1</v>
      </c>
      <c r="J285">
        <v>22</v>
      </c>
      <c r="K285">
        <v>67</v>
      </c>
      <c r="M285" s="1">
        <v>53</v>
      </c>
    </row>
    <row r="286" spans="1:16" x14ac:dyDescent="0.3">
      <c r="A286">
        <v>2018</v>
      </c>
      <c r="B286">
        <v>154</v>
      </c>
      <c r="C286">
        <v>12</v>
      </c>
      <c r="D286" s="1">
        <v>2357</v>
      </c>
      <c r="E286" s="1" t="s">
        <v>19</v>
      </c>
      <c r="F286">
        <v>122</v>
      </c>
      <c r="G286">
        <v>1</v>
      </c>
      <c r="J286">
        <v>1.7</v>
      </c>
    </row>
    <row r="287" spans="1:16" x14ac:dyDescent="0.3">
      <c r="A287">
        <v>2018</v>
      </c>
      <c r="B287">
        <v>154</v>
      </c>
      <c r="C287">
        <v>13</v>
      </c>
      <c r="D287" s="1">
        <v>2358</v>
      </c>
      <c r="E287" s="1" t="s">
        <v>19</v>
      </c>
      <c r="F287">
        <v>122</v>
      </c>
      <c r="G287">
        <v>1</v>
      </c>
      <c r="J287">
        <v>2.1</v>
      </c>
    </row>
    <row r="288" spans="1:16" x14ac:dyDescent="0.3">
      <c r="A288">
        <v>2018</v>
      </c>
      <c r="B288">
        <v>154</v>
      </c>
      <c r="C288">
        <v>14</v>
      </c>
      <c r="D288" s="1">
        <v>2359</v>
      </c>
      <c r="E288" s="1" t="s">
        <v>19</v>
      </c>
      <c r="F288">
        <v>122</v>
      </c>
      <c r="G288">
        <v>1</v>
      </c>
      <c r="J288">
        <v>1.1000000000000001</v>
      </c>
      <c r="P288" t="s">
        <v>54</v>
      </c>
    </row>
    <row r="289" spans="1:16" x14ac:dyDescent="0.3">
      <c r="A289">
        <v>2018</v>
      </c>
      <c r="B289">
        <v>154</v>
      </c>
      <c r="C289">
        <v>15</v>
      </c>
      <c r="D289" s="1">
        <v>2360</v>
      </c>
      <c r="E289" s="1" t="s">
        <v>16</v>
      </c>
      <c r="F289">
        <v>122</v>
      </c>
      <c r="G289">
        <v>1</v>
      </c>
      <c r="J289">
        <v>1.8</v>
      </c>
    </row>
    <row r="290" spans="1:16" x14ac:dyDescent="0.3">
      <c r="A290">
        <v>2018</v>
      </c>
      <c r="B290">
        <v>154</v>
      </c>
      <c r="C290">
        <v>16</v>
      </c>
      <c r="D290" s="1">
        <v>2361</v>
      </c>
      <c r="E290" s="1" t="s">
        <v>16</v>
      </c>
      <c r="F290">
        <v>202</v>
      </c>
      <c r="G290">
        <v>1</v>
      </c>
      <c r="J290">
        <v>2.1</v>
      </c>
    </row>
    <row r="291" spans="1:16" x14ac:dyDescent="0.3">
      <c r="A291">
        <v>2018</v>
      </c>
      <c r="B291">
        <v>154</v>
      </c>
      <c r="C291">
        <v>17</v>
      </c>
      <c r="D291" s="1">
        <v>2362</v>
      </c>
      <c r="E291" s="1" t="s">
        <v>16</v>
      </c>
      <c r="F291">
        <v>122</v>
      </c>
      <c r="G291">
        <v>1</v>
      </c>
      <c r="J291">
        <v>1.8</v>
      </c>
    </row>
    <row r="292" spans="1:16" x14ac:dyDescent="0.3">
      <c r="A292">
        <v>2018</v>
      </c>
      <c r="B292">
        <v>154</v>
      </c>
      <c r="C292">
        <v>18</v>
      </c>
      <c r="D292" s="1">
        <v>2363</v>
      </c>
      <c r="E292" s="1" t="s">
        <v>19</v>
      </c>
      <c r="F292">
        <v>202</v>
      </c>
      <c r="G292">
        <v>1</v>
      </c>
      <c r="J292">
        <v>3.1</v>
      </c>
    </row>
    <row r="293" spans="1:16" x14ac:dyDescent="0.3">
      <c r="A293">
        <v>2018</v>
      </c>
      <c r="B293">
        <v>154</v>
      </c>
      <c r="C293">
        <v>19</v>
      </c>
      <c r="D293" s="1">
        <v>2364</v>
      </c>
      <c r="E293" s="1" t="s">
        <v>16</v>
      </c>
      <c r="F293">
        <v>122</v>
      </c>
      <c r="G293">
        <v>1</v>
      </c>
      <c r="J293">
        <v>3.2</v>
      </c>
    </row>
    <row r="294" spans="1:16" x14ac:dyDescent="0.3">
      <c r="A294">
        <v>2018</v>
      </c>
      <c r="B294">
        <v>154</v>
      </c>
      <c r="C294">
        <v>20</v>
      </c>
      <c r="D294" s="1">
        <v>2365</v>
      </c>
      <c r="E294" s="1" t="s">
        <v>16</v>
      </c>
      <c r="F294">
        <v>122</v>
      </c>
      <c r="G294">
        <v>1</v>
      </c>
      <c r="J294">
        <v>2.8</v>
      </c>
    </row>
    <row r="295" spans="1:16" x14ac:dyDescent="0.3">
      <c r="A295">
        <v>2018</v>
      </c>
      <c r="B295">
        <v>154</v>
      </c>
      <c r="C295">
        <v>21</v>
      </c>
      <c r="D295" s="1">
        <v>2366</v>
      </c>
      <c r="E295" s="1" t="s">
        <v>16</v>
      </c>
      <c r="F295">
        <v>122</v>
      </c>
      <c r="G295">
        <v>1</v>
      </c>
      <c r="J295">
        <v>1.6</v>
      </c>
    </row>
    <row r="296" spans="1:16" x14ac:dyDescent="0.3">
      <c r="A296">
        <v>2018</v>
      </c>
      <c r="B296">
        <v>154</v>
      </c>
      <c r="C296">
        <v>22</v>
      </c>
      <c r="D296" s="1">
        <v>2367</v>
      </c>
      <c r="E296" s="1" t="s">
        <v>16</v>
      </c>
      <c r="F296">
        <v>122</v>
      </c>
      <c r="G296">
        <v>1</v>
      </c>
      <c r="J296">
        <v>2.5</v>
      </c>
    </row>
    <row r="297" spans="1:16" x14ac:dyDescent="0.3">
      <c r="A297">
        <v>2018</v>
      </c>
      <c r="B297">
        <v>154</v>
      </c>
      <c r="C297">
        <v>23</v>
      </c>
      <c r="D297" s="1">
        <v>2368</v>
      </c>
      <c r="E297" s="1" t="s">
        <v>16</v>
      </c>
      <c r="F297">
        <v>202</v>
      </c>
      <c r="G297">
        <v>1</v>
      </c>
      <c r="J297">
        <v>3.7</v>
      </c>
    </row>
    <row r="298" spans="1:16" x14ac:dyDescent="0.3">
      <c r="A298">
        <v>2018</v>
      </c>
      <c r="B298">
        <v>154</v>
      </c>
      <c r="C298">
        <v>24</v>
      </c>
      <c r="D298" s="1">
        <v>2369</v>
      </c>
      <c r="E298" s="1" t="s">
        <v>16</v>
      </c>
      <c r="F298">
        <v>122</v>
      </c>
      <c r="G298">
        <v>1</v>
      </c>
      <c r="J298">
        <v>1.4</v>
      </c>
      <c r="P298">
        <v>11.71</v>
      </c>
    </row>
    <row r="299" spans="1:16" x14ac:dyDescent="0.3">
      <c r="A299">
        <v>2018</v>
      </c>
      <c r="B299">
        <v>164</v>
      </c>
      <c r="C299">
        <v>1</v>
      </c>
      <c r="D299" s="1">
        <v>2457</v>
      </c>
      <c r="E299" s="1" t="s">
        <v>16</v>
      </c>
      <c r="F299">
        <v>202</v>
      </c>
      <c r="G299">
        <v>1</v>
      </c>
      <c r="J299">
        <v>21.6</v>
      </c>
      <c r="K299">
        <v>79</v>
      </c>
      <c r="M299" s="1">
        <v>69</v>
      </c>
      <c r="P299" t="s">
        <v>55</v>
      </c>
    </row>
    <row r="300" spans="1:16" x14ac:dyDescent="0.3">
      <c r="A300">
        <v>2018</v>
      </c>
      <c r="B300">
        <v>164</v>
      </c>
      <c r="C300">
        <v>2</v>
      </c>
      <c r="D300" s="1">
        <v>2458</v>
      </c>
      <c r="E300" s="1" t="s">
        <v>16</v>
      </c>
      <c r="F300">
        <v>202</v>
      </c>
      <c r="G300">
        <v>1</v>
      </c>
      <c r="J300">
        <v>2</v>
      </c>
      <c r="P300" t="s">
        <v>56</v>
      </c>
    </row>
    <row r="301" spans="1:16" x14ac:dyDescent="0.3">
      <c r="A301">
        <v>2018</v>
      </c>
      <c r="B301">
        <v>164</v>
      </c>
      <c r="C301">
        <v>3</v>
      </c>
      <c r="D301" s="1">
        <v>2459</v>
      </c>
      <c r="E301" s="1" t="s">
        <v>16</v>
      </c>
      <c r="F301">
        <v>202</v>
      </c>
      <c r="G301">
        <v>1</v>
      </c>
      <c r="J301">
        <v>2.2000000000000002</v>
      </c>
    </row>
    <row r="302" spans="1:16" x14ac:dyDescent="0.3">
      <c r="A302">
        <v>2018</v>
      </c>
      <c r="B302">
        <v>164</v>
      </c>
      <c r="C302">
        <v>4</v>
      </c>
      <c r="D302" s="1">
        <v>2460</v>
      </c>
      <c r="E302" s="1" t="s">
        <v>16</v>
      </c>
      <c r="F302">
        <v>73</v>
      </c>
      <c r="G302">
        <v>1</v>
      </c>
      <c r="J302">
        <v>1.8</v>
      </c>
    </row>
    <row r="303" spans="1:16" x14ac:dyDescent="0.3">
      <c r="A303">
        <v>2018</v>
      </c>
      <c r="B303">
        <v>164</v>
      </c>
      <c r="C303">
        <v>5</v>
      </c>
      <c r="D303" s="1">
        <v>2461</v>
      </c>
      <c r="E303" s="1" t="s">
        <v>16</v>
      </c>
      <c r="F303">
        <v>73</v>
      </c>
      <c r="G303">
        <v>1</v>
      </c>
      <c r="J303">
        <v>1.1000000000000001</v>
      </c>
      <c r="P303" t="s">
        <v>57</v>
      </c>
    </row>
    <row r="304" spans="1:16" x14ac:dyDescent="0.3">
      <c r="A304">
        <v>2018</v>
      </c>
      <c r="B304">
        <v>169</v>
      </c>
      <c r="C304">
        <v>1</v>
      </c>
      <c r="D304" s="1">
        <v>2517</v>
      </c>
      <c r="E304" s="1" t="s">
        <v>16</v>
      </c>
      <c r="F304">
        <v>202</v>
      </c>
      <c r="G304">
        <v>1</v>
      </c>
      <c r="J304">
        <v>17.5</v>
      </c>
      <c r="K304">
        <v>77</v>
      </c>
      <c r="M304" s="1">
        <v>69</v>
      </c>
    </row>
    <row r="305" spans="1:14" x14ac:dyDescent="0.3">
      <c r="A305">
        <v>2018</v>
      </c>
      <c r="B305">
        <v>169</v>
      </c>
      <c r="C305">
        <v>2</v>
      </c>
      <c r="D305" s="1">
        <v>2518</v>
      </c>
      <c r="E305" s="1" t="s">
        <v>16</v>
      </c>
      <c r="F305">
        <v>202</v>
      </c>
      <c r="G305">
        <v>1</v>
      </c>
      <c r="J305">
        <v>10.9</v>
      </c>
      <c r="K305">
        <v>69</v>
      </c>
      <c r="M305" s="1">
        <v>60</v>
      </c>
    </row>
    <row r="306" spans="1:14" x14ac:dyDescent="0.3">
      <c r="A306">
        <v>2018</v>
      </c>
      <c r="B306">
        <v>169</v>
      </c>
      <c r="C306">
        <v>3</v>
      </c>
      <c r="D306" s="1">
        <v>2519</v>
      </c>
      <c r="E306" s="1" t="s">
        <v>16</v>
      </c>
      <c r="F306">
        <v>202</v>
      </c>
      <c r="G306">
        <v>1</v>
      </c>
      <c r="J306">
        <v>11.4</v>
      </c>
      <c r="K306">
        <v>73</v>
      </c>
      <c r="M306" s="1">
        <v>63</v>
      </c>
    </row>
    <row r="307" spans="1:14" x14ac:dyDescent="0.3">
      <c r="A307">
        <v>2018</v>
      </c>
      <c r="B307">
        <v>169</v>
      </c>
      <c r="C307">
        <v>4</v>
      </c>
      <c r="D307" s="1">
        <v>2520</v>
      </c>
      <c r="E307" s="1" t="s">
        <v>16</v>
      </c>
      <c r="F307">
        <v>202</v>
      </c>
      <c r="G307">
        <v>1</v>
      </c>
      <c r="J307">
        <v>9</v>
      </c>
      <c r="K307">
        <v>64</v>
      </c>
      <c r="M307" s="1">
        <v>57</v>
      </c>
    </row>
    <row r="308" spans="1:14" x14ac:dyDescent="0.3">
      <c r="A308">
        <v>2018</v>
      </c>
      <c r="B308">
        <v>169</v>
      </c>
      <c r="C308">
        <v>5</v>
      </c>
      <c r="D308" s="1">
        <v>2521</v>
      </c>
      <c r="E308" s="1" t="s">
        <v>16</v>
      </c>
      <c r="F308">
        <v>202</v>
      </c>
      <c r="G308">
        <v>1</v>
      </c>
      <c r="J308">
        <v>15.8</v>
      </c>
      <c r="K308">
        <v>71</v>
      </c>
      <c r="M308" s="1">
        <v>65</v>
      </c>
    </row>
    <row r="309" spans="1:14" x14ac:dyDescent="0.3">
      <c r="A309">
        <v>2018</v>
      </c>
      <c r="B309">
        <v>169</v>
      </c>
      <c r="C309">
        <v>6</v>
      </c>
      <c r="D309" s="1">
        <v>2522</v>
      </c>
      <c r="E309" s="1" t="s">
        <v>16</v>
      </c>
      <c r="F309">
        <v>202</v>
      </c>
      <c r="G309">
        <v>1</v>
      </c>
      <c r="J309">
        <v>9</v>
      </c>
      <c r="K309">
        <v>62</v>
      </c>
      <c r="L309">
        <v>49</v>
      </c>
      <c r="M309" s="1">
        <v>47</v>
      </c>
      <c r="N309" s="1">
        <v>3</v>
      </c>
    </row>
    <row r="310" spans="1:14" x14ac:dyDescent="0.3">
      <c r="A310">
        <v>2018</v>
      </c>
      <c r="B310">
        <v>169</v>
      </c>
      <c r="C310">
        <v>7</v>
      </c>
      <c r="D310" s="1">
        <v>2523</v>
      </c>
      <c r="E310" s="1" t="s">
        <v>24</v>
      </c>
      <c r="F310">
        <v>202</v>
      </c>
      <c r="G310">
        <v>2</v>
      </c>
      <c r="I310">
        <v>2</v>
      </c>
      <c r="J310">
        <v>9.3000000000000007</v>
      </c>
      <c r="K310">
        <v>54</v>
      </c>
      <c r="L310">
        <v>47</v>
      </c>
      <c r="M310" s="1">
        <v>44</v>
      </c>
      <c r="N310" s="1">
        <v>3</v>
      </c>
    </row>
    <row r="311" spans="1:14" x14ac:dyDescent="0.3">
      <c r="A311">
        <v>2018</v>
      </c>
      <c r="B311">
        <v>169</v>
      </c>
      <c r="C311">
        <v>8</v>
      </c>
      <c r="D311" s="1">
        <v>2524</v>
      </c>
      <c r="E311" s="1" t="s">
        <v>16</v>
      </c>
      <c r="F311">
        <v>202</v>
      </c>
      <c r="G311">
        <v>1</v>
      </c>
      <c r="J311">
        <v>12.7</v>
      </c>
      <c r="K311">
        <v>57</v>
      </c>
      <c r="M311" s="1">
        <v>41</v>
      </c>
    </row>
    <row r="312" spans="1:14" x14ac:dyDescent="0.3">
      <c r="A312">
        <v>2018</v>
      </c>
      <c r="B312">
        <v>169</v>
      </c>
      <c r="C312">
        <v>9</v>
      </c>
      <c r="D312" s="1">
        <v>2525</v>
      </c>
      <c r="E312" s="1" t="s">
        <v>16</v>
      </c>
      <c r="F312">
        <v>202</v>
      </c>
      <c r="G312">
        <v>1</v>
      </c>
      <c r="J312">
        <v>22.9</v>
      </c>
      <c r="K312">
        <v>94</v>
      </c>
      <c r="M312" s="1">
        <v>83</v>
      </c>
    </row>
    <row r="313" spans="1:14" x14ac:dyDescent="0.3">
      <c r="A313">
        <v>2018</v>
      </c>
      <c r="B313">
        <v>169</v>
      </c>
      <c r="C313">
        <v>10</v>
      </c>
      <c r="D313" s="1">
        <v>2526</v>
      </c>
      <c r="E313" s="1" t="s">
        <v>16</v>
      </c>
      <c r="F313">
        <v>202</v>
      </c>
      <c r="G313">
        <v>1</v>
      </c>
      <c r="J313">
        <v>11.9</v>
      </c>
      <c r="K313">
        <v>57</v>
      </c>
      <c r="M313" s="1">
        <v>49</v>
      </c>
    </row>
    <row r="314" spans="1:14" x14ac:dyDescent="0.3">
      <c r="A314">
        <v>2018</v>
      </c>
      <c r="B314">
        <v>173</v>
      </c>
      <c r="C314">
        <v>1</v>
      </c>
      <c r="D314" s="1">
        <v>2557</v>
      </c>
      <c r="E314" s="1" t="s">
        <v>16</v>
      </c>
      <c r="F314">
        <v>202</v>
      </c>
      <c r="G314">
        <v>1</v>
      </c>
      <c r="J314">
        <v>6.1</v>
      </c>
      <c r="K314">
        <v>25</v>
      </c>
      <c r="M314" s="1">
        <v>14</v>
      </c>
    </row>
    <row r="315" spans="1:14" x14ac:dyDescent="0.3">
      <c r="A315">
        <v>2018</v>
      </c>
      <c r="B315">
        <v>173</v>
      </c>
      <c r="C315">
        <v>2</v>
      </c>
      <c r="D315" s="1">
        <v>2558</v>
      </c>
      <c r="E315" s="1" t="s">
        <v>16</v>
      </c>
      <c r="F315">
        <v>19</v>
      </c>
      <c r="G315">
        <v>1</v>
      </c>
      <c r="J315">
        <v>4.4000000000000004</v>
      </c>
    </row>
    <row r="316" spans="1:14" x14ac:dyDescent="0.3">
      <c r="A316">
        <v>2018</v>
      </c>
      <c r="B316">
        <v>173</v>
      </c>
      <c r="C316">
        <v>3</v>
      </c>
      <c r="D316" s="1">
        <v>2559</v>
      </c>
      <c r="E316" s="1" t="s">
        <v>16</v>
      </c>
      <c r="F316">
        <v>19</v>
      </c>
      <c r="G316">
        <v>1</v>
      </c>
      <c r="J316">
        <v>3.3</v>
      </c>
    </row>
    <row r="317" spans="1:14" x14ac:dyDescent="0.3">
      <c r="A317">
        <v>2018</v>
      </c>
      <c r="B317">
        <v>180</v>
      </c>
      <c r="C317">
        <v>1</v>
      </c>
      <c r="D317" s="1">
        <v>2638</v>
      </c>
      <c r="E317" s="1" t="s">
        <v>24</v>
      </c>
      <c r="F317">
        <v>122</v>
      </c>
      <c r="G317">
        <v>2</v>
      </c>
      <c r="I317">
        <v>2</v>
      </c>
      <c r="J317">
        <v>18.600000000000001</v>
      </c>
      <c r="K317">
        <v>72</v>
      </c>
      <c r="M317" s="1">
        <v>60</v>
      </c>
    </row>
    <row r="318" spans="1:14" x14ac:dyDescent="0.3">
      <c r="A318">
        <v>2018</v>
      </c>
      <c r="B318">
        <v>180</v>
      </c>
      <c r="C318">
        <v>2</v>
      </c>
      <c r="D318" s="1">
        <v>2639</v>
      </c>
      <c r="E318" s="1" t="s">
        <v>16</v>
      </c>
      <c r="F318">
        <v>202</v>
      </c>
      <c r="G318">
        <v>1</v>
      </c>
      <c r="J318">
        <v>14.4</v>
      </c>
      <c r="K318">
        <v>61</v>
      </c>
      <c r="M318" s="1">
        <v>48</v>
      </c>
    </row>
    <row r="319" spans="1:14" x14ac:dyDescent="0.3">
      <c r="A319">
        <v>2018</v>
      </c>
      <c r="B319">
        <v>180</v>
      </c>
      <c r="C319">
        <v>3</v>
      </c>
      <c r="D319" s="1">
        <v>2640</v>
      </c>
      <c r="E319" s="1" t="s">
        <v>16</v>
      </c>
      <c r="F319">
        <v>202</v>
      </c>
      <c r="G319">
        <v>1</v>
      </c>
      <c r="J319">
        <v>12.6</v>
      </c>
      <c r="K319">
        <v>63</v>
      </c>
      <c r="M319" s="1">
        <v>51</v>
      </c>
    </row>
    <row r="320" spans="1:14" x14ac:dyDescent="0.3">
      <c r="A320">
        <v>2018</v>
      </c>
      <c r="B320">
        <v>180</v>
      </c>
      <c r="C320">
        <v>4</v>
      </c>
      <c r="D320" s="1">
        <v>2641</v>
      </c>
      <c r="E320" s="1" t="s">
        <v>16</v>
      </c>
      <c r="F320">
        <v>202</v>
      </c>
      <c r="G320">
        <v>1</v>
      </c>
      <c r="J320">
        <v>15.6</v>
      </c>
      <c r="K320">
        <v>72</v>
      </c>
      <c r="M320" s="1">
        <v>61</v>
      </c>
    </row>
    <row r="321" spans="1:16" x14ac:dyDescent="0.3">
      <c r="A321">
        <v>2018</v>
      </c>
      <c r="B321">
        <v>180</v>
      </c>
      <c r="C321">
        <v>5</v>
      </c>
      <c r="D321" s="1">
        <v>2642</v>
      </c>
      <c r="E321" s="1" t="s">
        <v>24</v>
      </c>
      <c r="F321">
        <v>122</v>
      </c>
      <c r="G321">
        <v>2</v>
      </c>
      <c r="I321">
        <v>3</v>
      </c>
      <c r="J321">
        <v>10.5</v>
      </c>
      <c r="K321">
        <v>61</v>
      </c>
      <c r="L321">
        <v>57</v>
      </c>
      <c r="M321" s="1">
        <v>46</v>
      </c>
      <c r="N321" s="1">
        <v>1</v>
      </c>
      <c r="P321" t="s">
        <v>58</v>
      </c>
    </row>
    <row r="322" spans="1:16" x14ac:dyDescent="0.3">
      <c r="A322">
        <v>2018</v>
      </c>
      <c r="B322">
        <v>180</v>
      </c>
      <c r="C322">
        <v>6</v>
      </c>
      <c r="D322" s="1">
        <v>2643</v>
      </c>
      <c r="E322" s="1" t="s">
        <v>16</v>
      </c>
      <c r="F322">
        <v>202</v>
      </c>
      <c r="G322">
        <v>1</v>
      </c>
      <c r="J322">
        <v>9</v>
      </c>
      <c r="K322">
        <v>58</v>
      </c>
      <c r="M322" s="1">
        <v>44</v>
      </c>
    </row>
    <row r="323" spans="1:16" x14ac:dyDescent="0.3">
      <c r="A323">
        <v>2018</v>
      </c>
      <c r="B323">
        <v>180</v>
      </c>
      <c r="C323">
        <v>7</v>
      </c>
      <c r="D323" s="1">
        <v>2644</v>
      </c>
      <c r="E323" s="1" t="s">
        <v>16</v>
      </c>
      <c r="F323">
        <v>202</v>
      </c>
      <c r="G323">
        <v>1</v>
      </c>
      <c r="J323">
        <v>11.4</v>
      </c>
      <c r="K323">
        <v>57</v>
      </c>
      <c r="M323" s="1">
        <v>46</v>
      </c>
    </row>
    <row r="324" spans="1:16" x14ac:dyDescent="0.3">
      <c r="A324">
        <v>2018</v>
      </c>
      <c r="B324">
        <v>180</v>
      </c>
      <c r="C324">
        <v>8</v>
      </c>
      <c r="D324" s="1">
        <v>2645</v>
      </c>
      <c r="E324" s="1" t="s">
        <v>16</v>
      </c>
      <c r="F324">
        <v>202</v>
      </c>
      <c r="G324">
        <v>1</v>
      </c>
      <c r="J324">
        <v>10.7</v>
      </c>
      <c r="K324">
        <v>50</v>
      </c>
      <c r="M324" s="1">
        <v>42</v>
      </c>
    </row>
    <row r="325" spans="1:16" x14ac:dyDescent="0.3">
      <c r="A325">
        <v>2018</v>
      </c>
      <c r="B325">
        <v>180</v>
      </c>
      <c r="C325">
        <v>9</v>
      </c>
      <c r="D325" s="1">
        <v>2646</v>
      </c>
      <c r="E325" s="1" t="s">
        <v>16</v>
      </c>
      <c r="F325">
        <v>202</v>
      </c>
      <c r="G325">
        <v>1</v>
      </c>
      <c r="J325">
        <v>13.3</v>
      </c>
      <c r="K325">
        <v>62</v>
      </c>
      <c r="M325" s="1">
        <v>48</v>
      </c>
    </row>
    <row r="326" spans="1:16" x14ac:dyDescent="0.3">
      <c r="A326">
        <v>2018</v>
      </c>
      <c r="B326">
        <v>180</v>
      </c>
      <c r="C326">
        <v>10</v>
      </c>
      <c r="D326" s="1">
        <v>2647</v>
      </c>
      <c r="E326" s="1" t="s">
        <v>16</v>
      </c>
      <c r="F326">
        <v>202</v>
      </c>
      <c r="G326">
        <v>1</v>
      </c>
      <c r="J326">
        <v>11.8</v>
      </c>
      <c r="K326">
        <v>63</v>
      </c>
      <c r="M326" s="1">
        <v>50</v>
      </c>
    </row>
    <row r="327" spans="1:16" x14ac:dyDescent="0.3">
      <c r="A327">
        <v>2018</v>
      </c>
      <c r="B327">
        <v>180</v>
      </c>
      <c r="C327">
        <v>11</v>
      </c>
      <c r="D327" s="1">
        <v>2648</v>
      </c>
      <c r="E327" s="1" t="s">
        <v>16</v>
      </c>
      <c r="F327">
        <v>202</v>
      </c>
      <c r="G327">
        <v>1</v>
      </c>
      <c r="J327">
        <v>5.9</v>
      </c>
      <c r="K327">
        <v>29</v>
      </c>
      <c r="M327" s="1">
        <v>15</v>
      </c>
    </row>
    <row r="328" spans="1:16" x14ac:dyDescent="0.3">
      <c r="A328">
        <v>2018</v>
      </c>
      <c r="B328">
        <v>180</v>
      </c>
      <c r="C328">
        <v>12</v>
      </c>
      <c r="D328" s="1">
        <v>2649</v>
      </c>
      <c r="E328" s="1" t="s">
        <v>24</v>
      </c>
      <c r="F328">
        <v>122</v>
      </c>
      <c r="G328">
        <v>2</v>
      </c>
      <c r="I328">
        <v>2</v>
      </c>
      <c r="J328">
        <v>11.4</v>
      </c>
      <c r="K328">
        <v>49</v>
      </c>
      <c r="M328" s="1">
        <v>39</v>
      </c>
    </row>
    <row r="329" spans="1:16" x14ac:dyDescent="0.3">
      <c r="A329">
        <v>2018</v>
      </c>
      <c r="B329">
        <v>197</v>
      </c>
      <c r="C329">
        <v>1</v>
      </c>
      <c r="D329" s="1">
        <v>2850</v>
      </c>
      <c r="E329" s="1" t="s">
        <v>16</v>
      </c>
      <c r="F329">
        <v>202</v>
      </c>
      <c r="G329">
        <v>1</v>
      </c>
      <c r="J329">
        <v>9.1999999999999993</v>
      </c>
      <c r="K329">
        <v>53</v>
      </c>
      <c r="M329" s="1">
        <v>38</v>
      </c>
    </row>
    <row r="330" spans="1:16" x14ac:dyDescent="0.3">
      <c r="A330">
        <v>2018</v>
      </c>
      <c r="B330">
        <v>197</v>
      </c>
      <c r="C330">
        <v>2</v>
      </c>
      <c r="D330" s="1">
        <v>2851</v>
      </c>
      <c r="E330" s="1" t="s">
        <v>16</v>
      </c>
      <c r="F330">
        <v>202</v>
      </c>
      <c r="G330">
        <v>1</v>
      </c>
      <c r="J330">
        <v>5.3</v>
      </c>
      <c r="K330">
        <v>40</v>
      </c>
      <c r="M330" s="1">
        <v>15</v>
      </c>
    </row>
    <row r="331" spans="1:16" x14ac:dyDescent="0.3">
      <c r="A331">
        <v>2018</v>
      </c>
      <c r="B331">
        <v>197</v>
      </c>
      <c r="C331">
        <v>3</v>
      </c>
      <c r="D331" s="1">
        <v>2852</v>
      </c>
      <c r="E331" s="1" t="s">
        <v>16</v>
      </c>
      <c r="F331">
        <v>202</v>
      </c>
      <c r="G331">
        <v>1</v>
      </c>
      <c r="J331">
        <v>6.5</v>
      </c>
      <c r="K331">
        <v>47</v>
      </c>
      <c r="M331" s="1">
        <v>28</v>
      </c>
    </row>
    <row r="332" spans="1:16" x14ac:dyDescent="0.3">
      <c r="A332">
        <v>2018</v>
      </c>
      <c r="B332">
        <v>197</v>
      </c>
      <c r="C332">
        <v>4</v>
      </c>
      <c r="D332" s="1">
        <v>2853</v>
      </c>
      <c r="E332" s="1" t="s">
        <v>16</v>
      </c>
      <c r="F332">
        <v>202</v>
      </c>
      <c r="G332">
        <v>1</v>
      </c>
      <c r="J332">
        <v>5.4</v>
      </c>
      <c r="K332">
        <v>40</v>
      </c>
      <c r="M332" s="1">
        <v>22</v>
      </c>
    </row>
    <row r="333" spans="1:16" x14ac:dyDescent="0.3">
      <c r="A333">
        <v>2018</v>
      </c>
      <c r="B333">
        <v>197</v>
      </c>
      <c r="C333">
        <v>5</v>
      </c>
      <c r="D333" s="1">
        <v>2854</v>
      </c>
      <c r="E333" s="1" t="s">
        <v>16</v>
      </c>
      <c r="F333">
        <v>202</v>
      </c>
      <c r="G333">
        <v>1</v>
      </c>
      <c r="J333">
        <v>9.9</v>
      </c>
      <c r="K333">
        <v>53</v>
      </c>
      <c r="M333" s="1">
        <v>37</v>
      </c>
    </row>
    <row r="334" spans="1:16" x14ac:dyDescent="0.3">
      <c r="A334">
        <v>2018</v>
      </c>
      <c r="B334">
        <v>197</v>
      </c>
      <c r="C334">
        <v>6</v>
      </c>
      <c r="D334" s="1">
        <v>2855</v>
      </c>
      <c r="E334" s="1" t="s">
        <v>16</v>
      </c>
      <c r="F334">
        <v>202</v>
      </c>
      <c r="G334">
        <v>1</v>
      </c>
      <c r="J334">
        <v>19.2</v>
      </c>
      <c r="K334">
        <v>71</v>
      </c>
      <c r="L334">
        <v>50</v>
      </c>
      <c r="M334" s="1">
        <v>56</v>
      </c>
      <c r="N334" s="1">
        <v>5</v>
      </c>
      <c r="O334">
        <v>5</v>
      </c>
    </row>
    <row r="335" spans="1:16" x14ac:dyDescent="0.3">
      <c r="A335">
        <v>2018</v>
      </c>
      <c r="B335">
        <v>197</v>
      </c>
      <c r="C335">
        <v>7</v>
      </c>
      <c r="D335" s="1">
        <v>2856</v>
      </c>
      <c r="E335" s="1" t="s">
        <v>16</v>
      </c>
      <c r="F335">
        <v>122</v>
      </c>
      <c r="G335">
        <v>1</v>
      </c>
      <c r="J335">
        <v>7</v>
      </c>
      <c r="K335">
        <v>46</v>
      </c>
      <c r="M335" s="1">
        <v>27</v>
      </c>
    </row>
    <row r="336" spans="1:16" x14ac:dyDescent="0.3">
      <c r="A336">
        <v>2018</v>
      </c>
      <c r="B336">
        <v>197</v>
      </c>
      <c r="C336">
        <v>8</v>
      </c>
      <c r="D336" s="1">
        <v>2857</v>
      </c>
      <c r="E336" s="1" t="s">
        <v>16</v>
      </c>
      <c r="F336">
        <v>202</v>
      </c>
      <c r="G336">
        <v>1</v>
      </c>
      <c r="J336">
        <v>9.1</v>
      </c>
      <c r="K336">
        <v>51</v>
      </c>
      <c r="M336" s="1">
        <v>34</v>
      </c>
    </row>
    <row r="337" spans="1:16" x14ac:dyDescent="0.3">
      <c r="A337">
        <v>2018</v>
      </c>
      <c r="B337">
        <v>197</v>
      </c>
      <c r="C337">
        <v>9</v>
      </c>
      <c r="D337" s="1">
        <v>2858</v>
      </c>
      <c r="E337" s="1" t="s">
        <v>16</v>
      </c>
      <c r="F337">
        <v>202</v>
      </c>
      <c r="G337">
        <v>1</v>
      </c>
      <c r="J337">
        <v>5.6</v>
      </c>
      <c r="K337">
        <v>40</v>
      </c>
      <c r="M337" s="1">
        <v>21</v>
      </c>
    </row>
    <row r="338" spans="1:16" x14ac:dyDescent="0.3">
      <c r="A338">
        <v>2018</v>
      </c>
      <c r="B338">
        <v>197</v>
      </c>
      <c r="C338">
        <v>10</v>
      </c>
      <c r="D338" s="1">
        <v>2859</v>
      </c>
      <c r="E338" s="1" t="s">
        <v>34</v>
      </c>
      <c r="F338">
        <v>122</v>
      </c>
      <c r="G338">
        <v>2</v>
      </c>
      <c r="I338">
        <v>2</v>
      </c>
      <c r="J338">
        <v>12.2</v>
      </c>
      <c r="K338">
        <v>63</v>
      </c>
      <c r="L338">
        <v>30</v>
      </c>
      <c r="M338" s="1">
        <v>49</v>
      </c>
      <c r="N338" s="1">
        <v>9</v>
      </c>
    </row>
    <row r="339" spans="1:16" x14ac:dyDescent="0.3">
      <c r="A339">
        <v>2018</v>
      </c>
      <c r="B339">
        <v>197</v>
      </c>
      <c r="C339">
        <v>11</v>
      </c>
      <c r="D339" s="1">
        <v>2860</v>
      </c>
      <c r="E339" s="1" t="s">
        <v>16</v>
      </c>
      <c r="F339">
        <v>122</v>
      </c>
      <c r="G339">
        <v>1</v>
      </c>
      <c r="J339">
        <v>5.3</v>
      </c>
      <c r="K339">
        <v>36</v>
      </c>
      <c r="M339" s="1">
        <v>15</v>
      </c>
    </row>
    <row r="340" spans="1:16" x14ac:dyDescent="0.3">
      <c r="A340">
        <v>2018</v>
      </c>
      <c r="B340">
        <v>197</v>
      </c>
      <c r="C340">
        <v>12</v>
      </c>
      <c r="D340" s="1">
        <v>2861</v>
      </c>
      <c r="E340" s="1" t="s">
        <v>16</v>
      </c>
      <c r="F340">
        <v>202</v>
      </c>
      <c r="G340">
        <v>1</v>
      </c>
      <c r="J340">
        <v>5.4</v>
      </c>
      <c r="K340">
        <v>36</v>
      </c>
      <c r="M340" s="1">
        <v>16</v>
      </c>
    </row>
    <row r="341" spans="1:16" x14ac:dyDescent="0.3">
      <c r="A341">
        <v>2018</v>
      </c>
      <c r="B341">
        <v>197</v>
      </c>
      <c r="C341">
        <v>13</v>
      </c>
      <c r="D341" s="1">
        <v>2862</v>
      </c>
      <c r="E341" s="1" t="s">
        <v>16</v>
      </c>
      <c r="F341">
        <v>202</v>
      </c>
      <c r="G341">
        <v>1</v>
      </c>
      <c r="J341">
        <v>5</v>
      </c>
      <c r="K341">
        <v>34</v>
      </c>
      <c r="M341" s="1">
        <v>15</v>
      </c>
    </row>
    <row r="342" spans="1:16" x14ac:dyDescent="0.3">
      <c r="A342">
        <v>2018</v>
      </c>
      <c r="B342">
        <v>197</v>
      </c>
      <c r="C342">
        <v>14</v>
      </c>
      <c r="D342" s="1">
        <v>2863</v>
      </c>
      <c r="E342" s="1" t="s">
        <v>16</v>
      </c>
      <c r="F342">
        <v>202</v>
      </c>
      <c r="G342">
        <v>1</v>
      </c>
      <c r="J342">
        <v>6.1</v>
      </c>
      <c r="K342">
        <v>42</v>
      </c>
      <c r="M342" s="1">
        <v>23</v>
      </c>
    </row>
    <row r="343" spans="1:16" x14ac:dyDescent="0.3">
      <c r="A343">
        <v>2018</v>
      </c>
      <c r="B343">
        <v>197</v>
      </c>
      <c r="C343">
        <v>15</v>
      </c>
      <c r="D343" s="1">
        <v>2864</v>
      </c>
      <c r="E343" s="1" t="s">
        <v>16</v>
      </c>
      <c r="F343">
        <v>202</v>
      </c>
      <c r="G343">
        <v>1</v>
      </c>
      <c r="J343">
        <v>8.8000000000000007</v>
      </c>
      <c r="K343">
        <v>52</v>
      </c>
      <c r="M343" s="1">
        <v>39</v>
      </c>
    </row>
    <row r="344" spans="1:16" x14ac:dyDescent="0.3">
      <c r="A344">
        <v>2018</v>
      </c>
      <c r="B344">
        <v>197</v>
      </c>
      <c r="C344">
        <v>16</v>
      </c>
      <c r="D344" s="1">
        <v>2865</v>
      </c>
      <c r="E344" s="1" t="s">
        <v>16</v>
      </c>
      <c r="F344">
        <v>122</v>
      </c>
      <c r="G344">
        <v>1</v>
      </c>
      <c r="J344">
        <v>7.2</v>
      </c>
      <c r="K344">
        <v>29</v>
      </c>
      <c r="M344" s="1">
        <v>16</v>
      </c>
    </row>
    <row r="345" spans="1:16" x14ac:dyDescent="0.3">
      <c r="A345">
        <v>2018</v>
      </c>
      <c r="B345">
        <v>197</v>
      </c>
      <c r="C345">
        <v>17</v>
      </c>
      <c r="D345" s="1">
        <v>2866</v>
      </c>
      <c r="E345" s="1" t="s">
        <v>16</v>
      </c>
      <c r="F345">
        <v>202</v>
      </c>
      <c r="G345">
        <v>1</v>
      </c>
      <c r="J345">
        <v>10.3</v>
      </c>
      <c r="K345">
        <v>52</v>
      </c>
      <c r="M345" s="1">
        <v>39</v>
      </c>
    </row>
    <row r="346" spans="1:16" x14ac:dyDescent="0.3">
      <c r="A346">
        <v>2018</v>
      </c>
      <c r="B346">
        <v>197</v>
      </c>
      <c r="C346">
        <v>18</v>
      </c>
      <c r="D346" s="1">
        <v>2867</v>
      </c>
      <c r="E346" s="1" t="s">
        <v>16</v>
      </c>
      <c r="F346">
        <v>122</v>
      </c>
      <c r="G346">
        <v>1</v>
      </c>
      <c r="J346">
        <v>9.3000000000000007</v>
      </c>
      <c r="K346">
        <v>46</v>
      </c>
      <c r="M346" s="1">
        <v>30</v>
      </c>
      <c r="P346" t="s">
        <v>59</v>
      </c>
    </row>
    <row r="347" spans="1:16" x14ac:dyDescent="0.3">
      <c r="A347">
        <v>2018</v>
      </c>
      <c r="B347">
        <v>197</v>
      </c>
      <c r="C347">
        <v>19</v>
      </c>
      <c r="D347" s="1">
        <v>2868</v>
      </c>
      <c r="E347" s="1" t="s">
        <v>16</v>
      </c>
      <c r="F347">
        <v>202</v>
      </c>
      <c r="G347">
        <v>1</v>
      </c>
      <c r="J347">
        <v>10.3</v>
      </c>
      <c r="K347">
        <v>54</v>
      </c>
      <c r="M347" s="1">
        <v>41</v>
      </c>
    </row>
    <row r="348" spans="1:16" x14ac:dyDescent="0.3">
      <c r="A348">
        <v>2018</v>
      </c>
      <c r="B348">
        <v>197</v>
      </c>
      <c r="C348">
        <v>20</v>
      </c>
      <c r="D348" s="1">
        <v>2869</v>
      </c>
      <c r="E348" s="1" t="s">
        <v>16</v>
      </c>
      <c r="F348">
        <v>202</v>
      </c>
      <c r="G348">
        <v>1</v>
      </c>
      <c r="J348">
        <v>10.5</v>
      </c>
      <c r="K348">
        <v>54</v>
      </c>
      <c r="M348" s="1">
        <v>41</v>
      </c>
    </row>
    <row r="349" spans="1:16" x14ac:dyDescent="0.3">
      <c r="A349">
        <v>2018</v>
      </c>
      <c r="B349">
        <v>197</v>
      </c>
      <c r="C349">
        <v>21</v>
      </c>
      <c r="D349" s="1">
        <v>2870</v>
      </c>
      <c r="E349" s="1" t="s">
        <v>16</v>
      </c>
      <c r="F349">
        <v>202</v>
      </c>
      <c r="G349">
        <v>1</v>
      </c>
      <c r="J349">
        <v>7.6</v>
      </c>
      <c r="K349">
        <v>44</v>
      </c>
      <c r="M349" s="1">
        <v>29</v>
      </c>
    </row>
    <row r="350" spans="1:16" x14ac:dyDescent="0.3">
      <c r="A350">
        <v>2018</v>
      </c>
      <c r="B350">
        <v>197</v>
      </c>
      <c r="C350">
        <v>22</v>
      </c>
      <c r="D350" s="1">
        <v>2871</v>
      </c>
      <c r="E350" s="1" t="s">
        <v>16</v>
      </c>
      <c r="F350">
        <v>202</v>
      </c>
      <c r="G350">
        <v>1</v>
      </c>
      <c r="J350">
        <v>12</v>
      </c>
      <c r="K350">
        <v>55</v>
      </c>
      <c r="M350" s="1">
        <v>43</v>
      </c>
    </row>
    <row r="351" spans="1:16" x14ac:dyDescent="0.3">
      <c r="A351">
        <v>2018</v>
      </c>
      <c r="B351">
        <v>197</v>
      </c>
      <c r="C351">
        <v>23</v>
      </c>
      <c r="D351" s="1">
        <v>2872</v>
      </c>
      <c r="E351" s="1" t="s">
        <v>16</v>
      </c>
      <c r="F351">
        <v>202</v>
      </c>
      <c r="G351">
        <v>1</v>
      </c>
      <c r="J351">
        <v>7.5</v>
      </c>
      <c r="K351">
        <v>50</v>
      </c>
      <c r="M351" s="1">
        <v>35</v>
      </c>
      <c r="P351" t="s">
        <v>60</v>
      </c>
    </row>
    <row r="352" spans="1:16" x14ac:dyDescent="0.3">
      <c r="A352">
        <v>2018</v>
      </c>
      <c r="B352">
        <v>197</v>
      </c>
      <c r="C352">
        <v>24</v>
      </c>
      <c r="D352" s="1">
        <v>2873</v>
      </c>
      <c r="E352" s="1" t="s">
        <v>16</v>
      </c>
      <c r="F352">
        <v>202</v>
      </c>
      <c r="G352">
        <v>1</v>
      </c>
      <c r="J352">
        <v>9.5</v>
      </c>
      <c r="K352">
        <v>54</v>
      </c>
      <c r="M352" s="1">
        <v>42</v>
      </c>
      <c r="P352" t="s">
        <v>61</v>
      </c>
    </row>
    <row r="353" spans="1:16" x14ac:dyDescent="0.3">
      <c r="A353">
        <v>2018</v>
      </c>
      <c r="B353">
        <v>197</v>
      </c>
      <c r="C353">
        <v>25</v>
      </c>
      <c r="D353" s="1">
        <v>2874</v>
      </c>
      <c r="E353" s="1" t="s">
        <v>16</v>
      </c>
      <c r="F353">
        <v>202</v>
      </c>
      <c r="G353">
        <v>1</v>
      </c>
      <c r="J353">
        <v>4.3</v>
      </c>
    </row>
    <row r="354" spans="1:16" x14ac:dyDescent="0.3">
      <c r="A354">
        <v>2018</v>
      </c>
      <c r="B354">
        <v>197</v>
      </c>
      <c r="C354">
        <v>26</v>
      </c>
      <c r="D354" s="1">
        <v>2875</v>
      </c>
      <c r="E354" s="1" t="s">
        <v>16</v>
      </c>
      <c r="F354">
        <v>202</v>
      </c>
      <c r="G354">
        <v>1</v>
      </c>
      <c r="J354">
        <v>2.5</v>
      </c>
      <c r="P354" t="s">
        <v>62</v>
      </c>
    </row>
    <row r="355" spans="1:16" x14ac:dyDescent="0.3">
      <c r="A355">
        <v>2018</v>
      </c>
      <c r="B355">
        <v>198</v>
      </c>
      <c r="C355">
        <v>1</v>
      </c>
      <c r="D355" s="1">
        <v>2876</v>
      </c>
      <c r="E355" s="1" t="s">
        <v>16</v>
      </c>
      <c r="F355">
        <v>122</v>
      </c>
      <c r="G355">
        <v>1</v>
      </c>
      <c r="J355">
        <v>27.4</v>
      </c>
      <c r="K355">
        <v>118</v>
      </c>
      <c r="M355" s="1">
        <v>102</v>
      </c>
    </row>
    <row r="356" spans="1:16" x14ac:dyDescent="0.3">
      <c r="A356">
        <v>2018</v>
      </c>
      <c r="B356">
        <v>198</v>
      </c>
      <c r="C356">
        <v>2</v>
      </c>
      <c r="D356" s="1">
        <v>2877</v>
      </c>
      <c r="E356" s="1" t="s">
        <v>16</v>
      </c>
      <c r="F356">
        <v>202</v>
      </c>
      <c r="G356">
        <v>1</v>
      </c>
      <c r="J356">
        <v>18.3</v>
      </c>
      <c r="K356">
        <v>76</v>
      </c>
      <c r="M356" s="1">
        <v>59</v>
      </c>
    </row>
    <row r="357" spans="1:16" x14ac:dyDescent="0.3">
      <c r="A357">
        <v>2018</v>
      </c>
      <c r="B357">
        <v>198</v>
      </c>
      <c r="C357">
        <v>3</v>
      </c>
      <c r="D357" s="1">
        <v>2878</v>
      </c>
      <c r="E357" s="1" t="s">
        <v>16</v>
      </c>
      <c r="F357">
        <v>202</v>
      </c>
      <c r="G357">
        <v>1</v>
      </c>
      <c r="J357">
        <v>5</v>
      </c>
      <c r="K357">
        <v>24</v>
      </c>
      <c r="M357" s="1">
        <v>9</v>
      </c>
      <c r="P357" t="s">
        <v>63</v>
      </c>
    </row>
    <row r="358" spans="1:16" x14ac:dyDescent="0.3">
      <c r="A358">
        <v>2018</v>
      </c>
      <c r="B358">
        <v>198</v>
      </c>
      <c r="C358">
        <v>4</v>
      </c>
      <c r="D358" s="1">
        <v>2879</v>
      </c>
      <c r="E358" s="1" t="s">
        <v>16</v>
      </c>
      <c r="F358">
        <v>202</v>
      </c>
      <c r="G358">
        <v>1</v>
      </c>
      <c r="J358">
        <v>1.1000000000000001</v>
      </c>
    </row>
    <row r="359" spans="1:16" x14ac:dyDescent="0.3">
      <c r="A359">
        <v>2018</v>
      </c>
      <c r="B359">
        <v>198</v>
      </c>
      <c r="C359">
        <v>5</v>
      </c>
      <c r="D359" s="1">
        <v>2880</v>
      </c>
      <c r="E359" s="1" t="s">
        <v>16</v>
      </c>
      <c r="F359">
        <v>202</v>
      </c>
      <c r="G359">
        <v>1</v>
      </c>
      <c r="J359">
        <v>1</v>
      </c>
    </row>
    <row r="360" spans="1:16" x14ac:dyDescent="0.3">
      <c r="A360">
        <v>2018</v>
      </c>
      <c r="B360">
        <v>198</v>
      </c>
      <c r="C360">
        <v>6</v>
      </c>
      <c r="D360" s="1">
        <v>2881</v>
      </c>
      <c r="E360" s="1" t="s">
        <v>16</v>
      </c>
      <c r="F360">
        <v>202</v>
      </c>
      <c r="G360">
        <v>1</v>
      </c>
      <c r="J360">
        <v>1.6</v>
      </c>
    </row>
    <row r="361" spans="1:16" x14ac:dyDescent="0.3">
      <c r="A361">
        <v>2018</v>
      </c>
      <c r="B361">
        <v>238</v>
      </c>
      <c r="C361">
        <v>1</v>
      </c>
      <c r="D361" s="1">
        <v>3305</v>
      </c>
      <c r="E361" s="1" t="s">
        <v>16</v>
      </c>
      <c r="F361">
        <v>73</v>
      </c>
      <c r="G361">
        <v>1</v>
      </c>
      <c r="J361">
        <v>8.1999999999999993</v>
      </c>
      <c r="K361">
        <v>60</v>
      </c>
      <c r="M361" s="1">
        <v>38</v>
      </c>
    </row>
    <row r="362" spans="1:16" x14ac:dyDescent="0.3">
      <c r="A362">
        <v>2018</v>
      </c>
      <c r="B362">
        <v>238</v>
      </c>
      <c r="C362">
        <v>2</v>
      </c>
      <c r="D362" s="1">
        <v>3306</v>
      </c>
      <c r="E362" s="1" t="s">
        <v>16</v>
      </c>
      <c r="F362">
        <v>73</v>
      </c>
      <c r="G362">
        <v>1</v>
      </c>
      <c r="J362">
        <v>7.3</v>
      </c>
      <c r="K362">
        <v>48</v>
      </c>
      <c r="M362" s="1">
        <v>24</v>
      </c>
    </row>
    <row r="363" spans="1:16" x14ac:dyDescent="0.3">
      <c r="A363">
        <v>2018</v>
      </c>
      <c r="B363">
        <v>238</v>
      </c>
      <c r="C363">
        <v>3</v>
      </c>
      <c r="D363" s="1">
        <v>3307</v>
      </c>
      <c r="E363" s="1" t="s">
        <v>16</v>
      </c>
      <c r="F363">
        <v>202</v>
      </c>
      <c r="G363">
        <v>1</v>
      </c>
      <c r="J363">
        <v>16.5</v>
      </c>
      <c r="K363">
        <v>63</v>
      </c>
      <c r="M363" s="1">
        <v>47</v>
      </c>
    </row>
    <row r="364" spans="1:16" x14ac:dyDescent="0.3">
      <c r="A364">
        <v>2018</v>
      </c>
      <c r="B364">
        <v>238</v>
      </c>
      <c r="C364">
        <v>4</v>
      </c>
      <c r="D364" s="1">
        <v>3308</v>
      </c>
      <c r="E364" s="1" t="s">
        <v>16</v>
      </c>
      <c r="F364">
        <v>202</v>
      </c>
      <c r="G364">
        <v>1</v>
      </c>
      <c r="J364">
        <v>10.5</v>
      </c>
      <c r="K364">
        <v>65</v>
      </c>
      <c r="M364" s="1">
        <v>50</v>
      </c>
    </row>
    <row r="365" spans="1:16" x14ac:dyDescent="0.3">
      <c r="A365">
        <v>2018</v>
      </c>
      <c r="B365">
        <v>238</v>
      </c>
      <c r="C365">
        <v>5</v>
      </c>
      <c r="D365" s="1">
        <v>3309</v>
      </c>
      <c r="E365" s="1" t="s">
        <v>16</v>
      </c>
      <c r="F365">
        <v>73</v>
      </c>
      <c r="G365">
        <v>1</v>
      </c>
      <c r="J365">
        <v>12.5</v>
      </c>
      <c r="K365">
        <v>64</v>
      </c>
      <c r="M365" s="1">
        <v>48</v>
      </c>
    </row>
    <row r="366" spans="1:16" x14ac:dyDescent="0.3">
      <c r="A366">
        <v>2018</v>
      </c>
      <c r="B366">
        <v>238</v>
      </c>
      <c r="C366">
        <v>6</v>
      </c>
      <c r="D366" s="1">
        <v>3310</v>
      </c>
      <c r="E366" s="1" t="s">
        <v>16</v>
      </c>
      <c r="F366">
        <v>73</v>
      </c>
      <c r="G366">
        <v>1</v>
      </c>
      <c r="J366">
        <v>5</v>
      </c>
      <c r="K366">
        <v>33</v>
      </c>
      <c r="M366" s="1">
        <v>10</v>
      </c>
    </row>
    <row r="367" spans="1:16" x14ac:dyDescent="0.3">
      <c r="A367">
        <v>2018</v>
      </c>
      <c r="B367">
        <v>238</v>
      </c>
      <c r="C367">
        <v>7</v>
      </c>
      <c r="D367" s="1">
        <v>3311</v>
      </c>
      <c r="E367" s="1" t="s">
        <v>16</v>
      </c>
      <c r="F367">
        <v>122</v>
      </c>
      <c r="G367">
        <v>1</v>
      </c>
      <c r="J367">
        <v>20.5</v>
      </c>
      <c r="K367">
        <v>94</v>
      </c>
      <c r="M367" s="1">
        <v>77</v>
      </c>
    </row>
    <row r="368" spans="1:16" x14ac:dyDescent="0.3">
      <c r="A368">
        <v>2018</v>
      </c>
      <c r="B368">
        <v>238</v>
      </c>
      <c r="C368">
        <v>8</v>
      </c>
      <c r="D368" s="1">
        <v>3312</v>
      </c>
      <c r="E368" s="1" t="s">
        <v>16</v>
      </c>
      <c r="F368">
        <v>202</v>
      </c>
      <c r="G368">
        <v>1</v>
      </c>
      <c r="J368">
        <v>22.7</v>
      </c>
      <c r="K368">
        <v>87</v>
      </c>
      <c r="M368" s="1">
        <v>70</v>
      </c>
    </row>
    <row r="369" spans="1:10" x14ac:dyDescent="0.3">
      <c r="A369">
        <v>2018</v>
      </c>
      <c r="B369">
        <v>238</v>
      </c>
      <c r="C369">
        <v>9</v>
      </c>
      <c r="D369" s="1">
        <v>3313</v>
      </c>
      <c r="E369" s="1" t="s">
        <v>16</v>
      </c>
      <c r="F369">
        <v>73</v>
      </c>
      <c r="G369">
        <v>1</v>
      </c>
      <c r="J369">
        <v>1.5</v>
      </c>
    </row>
    <row r="370" spans="1:10" x14ac:dyDescent="0.3">
      <c r="A370">
        <v>2018</v>
      </c>
      <c r="B370">
        <v>238</v>
      </c>
      <c r="C370">
        <v>10</v>
      </c>
      <c r="D370" s="1">
        <v>3314</v>
      </c>
      <c r="E370" s="1" t="s">
        <v>16</v>
      </c>
      <c r="F370">
        <v>73</v>
      </c>
      <c r="G370">
        <v>1</v>
      </c>
      <c r="J370">
        <v>1.6</v>
      </c>
    </row>
    <row r="371" spans="1:10" x14ac:dyDescent="0.3">
      <c r="A371">
        <v>2018</v>
      </c>
      <c r="B371">
        <v>238</v>
      </c>
      <c r="C371">
        <v>11</v>
      </c>
      <c r="D371" s="1">
        <v>3315</v>
      </c>
      <c r="E371" s="1" t="s">
        <v>16</v>
      </c>
      <c r="F371">
        <v>202</v>
      </c>
      <c r="G371">
        <v>1</v>
      </c>
      <c r="J371">
        <v>1.3</v>
      </c>
    </row>
    <row r="372" spans="1:10" x14ac:dyDescent="0.3">
      <c r="A372">
        <v>2018</v>
      </c>
      <c r="B372">
        <v>238</v>
      </c>
      <c r="C372">
        <v>12</v>
      </c>
      <c r="D372" s="1">
        <v>3316</v>
      </c>
      <c r="E372" s="1" t="s">
        <v>16</v>
      </c>
      <c r="F372">
        <v>202</v>
      </c>
      <c r="G372">
        <v>1</v>
      </c>
      <c r="J372">
        <v>1.4</v>
      </c>
    </row>
    <row r="373" spans="1:10" x14ac:dyDescent="0.3">
      <c r="A373">
        <v>2018</v>
      </c>
      <c r="B373">
        <v>238</v>
      </c>
      <c r="C373">
        <v>13</v>
      </c>
      <c r="D373" s="1">
        <v>3317</v>
      </c>
      <c r="E373" s="1" t="s">
        <v>16</v>
      </c>
      <c r="F373">
        <v>202</v>
      </c>
      <c r="G373">
        <v>1</v>
      </c>
      <c r="J373">
        <v>1.7</v>
      </c>
    </row>
    <row r="374" spans="1:10" x14ac:dyDescent="0.3">
      <c r="A374">
        <v>2018</v>
      </c>
      <c r="B374">
        <v>238</v>
      </c>
      <c r="C374">
        <v>14</v>
      </c>
      <c r="D374" s="1">
        <v>3318</v>
      </c>
      <c r="E374" s="1" t="s">
        <v>16</v>
      </c>
      <c r="F374">
        <v>202</v>
      </c>
      <c r="G374">
        <v>1</v>
      </c>
      <c r="J374">
        <v>1.4</v>
      </c>
    </row>
    <row r="375" spans="1:10" x14ac:dyDescent="0.3">
      <c r="A375">
        <v>2018</v>
      </c>
      <c r="B375">
        <v>238</v>
      </c>
      <c r="C375">
        <v>15</v>
      </c>
      <c r="D375" s="1">
        <v>3319</v>
      </c>
      <c r="E375" s="1" t="s">
        <v>16</v>
      </c>
      <c r="F375">
        <v>202</v>
      </c>
      <c r="G375">
        <v>1</v>
      </c>
      <c r="J375">
        <v>1.9</v>
      </c>
    </row>
    <row r="376" spans="1:10" x14ac:dyDescent="0.3">
      <c r="A376">
        <v>2018</v>
      </c>
      <c r="B376">
        <v>238</v>
      </c>
      <c r="C376">
        <v>16</v>
      </c>
      <c r="D376" s="1">
        <v>3320</v>
      </c>
      <c r="E376" s="1" t="s">
        <v>16</v>
      </c>
      <c r="F376">
        <v>202</v>
      </c>
      <c r="G376">
        <v>1</v>
      </c>
      <c r="J376">
        <v>1.1000000000000001</v>
      </c>
    </row>
    <row r="377" spans="1:10" x14ac:dyDescent="0.3">
      <c r="A377">
        <v>2018</v>
      </c>
      <c r="B377">
        <v>238</v>
      </c>
      <c r="C377">
        <v>17</v>
      </c>
      <c r="D377" s="1">
        <v>3321</v>
      </c>
      <c r="E377" s="1" t="s">
        <v>16</v>
      </c>
      <c r="F377">
        <v>202</v>
      </c>
      <c r="G377">
        <v>1</v>
      </c>
      <c r="J377">
        <v>2.5</v>
      </c>
    </row>
    <row r="378" spans="1:10" x14ac:dyDescent="0.3">
      <c r="A378">
        <v>2018</v>
      </c>
      <c r="B378">
        <v>238</v>
      </c>
      <c r="C378">
        <v>18</v>
      </c>
      <c r="D378" s="1">
        <v>3322</v>
      </c>
      <c r="E378" s="1" t="s">
        <v>16</v>
      </c>
      <c r="F378">
        <v>202</v>
      </c>
      <c r="G378">
        <v>1</v>
      </c>
      <c r="J378">
        <v>1.6</v>
      </c>
    </row>
    <row r="379" spans="1:10" x14ac:dyDescent="0.3">
      <c r="A379">
        <v>2018</v>
      </c>
      <c r="B379">
        <v>238</v>
      </c>
      <c r="C379">
        <v>19</v>
      </c>
      <c r="D379" s="1">
        <v>3323</v>
      </c>
      <c r="E379" s="1" t="s">
        <v>16</v>
      </c>
      <c r="F379">
        <v>202</v>
      </c>
      <c r="G379">
        <v>1</v>
      </c>
      <c r="J379">
        <v>1.8</v>
      </c>
    </row>
    <row r="380" spans="1:10" x14ac:dyDescent="0.3">
      <c r="A380">
        <v>2018</v>
      </c>
      <c r="B380">
        <v>238</v>
      </c>
      <c r="C380">
        <v>20</v>
      </c>
      <c r="D380" s="1">
        <v>3324</v>
      </c>
      <c r="E380" s="1" t="s">
        <v>16</v>
      </c>
      <c r="F380">
        <v>202</v>
      </c>
      <c r="G380">
        <v>1</v>
      </c>
      <c r="J380">
        <v>1.9</v>
      </c>
    </row>
    <row r="381" spans="1:10" x14ac:dyDescent="0.3">
      <c r="A381">
        <v>2018</v>
      </c>
      <c r="B381">
        <v>238</v>
      </c>
      <c r="C381">
        <v>21</v>
      </c>
      <c r="D381" s="1">
        <v>3325</v>
      </c>
      <c r="E381" s="1" t="s">
        <v>16</v>
      </c>
      <c r="F381">
        <v>202</v>
      </c>
      <c r="G381">
        <v>1</v>
      </c>
      <c r="J381">
        <v>2.4</v>
      </c>
    </row>
    <row r="382" spans="1:10" x14ac:dyDescent="0.3">
      <c r="A382">
        <v>2018</v>
      </c>
      <c r="B382">
        <v>238</v>
      </c>
      <c r="C382">
        <v>22</v>
      </c>
      <c r="D382" s="1">
        <v>3326</v>
      </c>
      <c r="E382" s="1" t="s">
        <v>16</v>
      </c>
      <c r="F382">
        <v>202</v>
      </c>
      <c r="G382">
        <v>1</v>
      </c>
      <c r="J382">
        <v>2.1</v>
      </c>
    </row>
    <row r="383" spans="1:10" x14ac:dyDescent="0.3">
      <c r="A383">
        <v>2018</v>
      </c>
      <c r="B383">
        <v>238</v>
      </c>
      <c r="C383">
        <v>23</v>
      </c>
      <c r="D383" s="1">
        <v>3327</v>
      </c>
      <c r="E383" s="1" t="s">
        <v>16</v>
      </c>
      <c r="F383">
        <v>202</v>
      </c>
      <c r="G383">
        <v>1</v>
      </c>
      <c r="J383">
        <v>2.7</v>
      </c>
    </row>
    <row r="384" spans="1:10" x14ac:dyDescent="0.3">
      <c r="A384">
        <v>2018</v>
      </c>
      <c r="B384">
        <v>238</v>
      </c>
      <c r="C384">
        <v>24</v>
      </c>
      <c r="D384" s="1">
        <v>3328</v>
      </c>
      <c r="E384" s="1" t="s">
        <v>16</v>
      </c>
      <c r="F384">
        <v>202</v>
      </c>
      <c r="G384">
        <v>1</v>
      </c>
      <c r="J384">
        <v>2.8</v>
      </c>
    </row>
    <row r="385" spans="1:15" x14ac:dyDescent="0.3">
      <c r="A385">
        <v>2018</v>
      </c>
      <c r="B385">
        <v>238</v>
      </c>
      <c r="C385">
        <v>25</v>
      </c>
      <c r="D385" s="1">
        <v>3329</v>
      </c>
      <c r="E385" s="1" t="s">
        <v>16</v>
      </c>
      <c r="F385">
        <v>202</v>
      </c>
      <c r="G385">
        <v>1</v>
      </c>
      <c r="J385">
        <v>1.2</v>
      </c>
    </row>
    <row r="386" spans="1:15" x14ac:dyDescent="0.3">
      <c r="A386">
        <v>2018</v>
      </c>
      <c r="B386">
        <v>238</v>
      </c>
      <c r="C386">
        <v>26</v>
      </c>
      <c r="D386" s="1">
        <v>3330</v>
      </c>
      <c r="E386" s="1" t="s">
        <v>16</v>
      </c>
      <c r="F386">
        <v>202</v>
      </c>
      <c r="G386">
        <v>1</v>
      </c>
      <c r="J386">
        <v>1.9</v>
      </c>
    </row>
    <row r="387" spans="1:15" x14ac:dyDescent="0.3">
      <c r="A387">
        <v>2018</v>
      </c>
      <c r="B387">
        <v>238</v>
      </c>
      <c r="C387">
        <v>27</v>
      </c>
      <c r="D387" s="1">
        <v>3331</v>
      </c>
      <c r="E387" s="1" t="s">
        <v>16</v>
      </c>
      <c r="F387">
        <v>202</v>
      </c>
      <c r="G387">
        <v>1</v>
      </c>
      <c r="J387">
        <v>1.3</v>
      </c>
    </row>
    <row r="388" spans="1:15" x14ac:dyDescent="0.3">
      <c r="A388">
        <v>2018</v>
      </c>
      <c r="B388">
        <v>238</v>
      </c>
      <c r="C388">
        <v>28</v>
      </c>
      <c r="D388" s="1">
        <v>3332</v>
      </c>
      <c r="E388" s="1" t="s">
        <v>16</v>
      </c>
      <c r="F388">
        <v>202</v>
      </c>
      <c r="G388">
        <v>1</v>
      </c>
      <c r="J388">
        <v>2</v>
      </c>
    </row>
    <row r="389" spans="1:15" x14ac:dyDescent="0.3">
      <c r="A389">
        <v>2018</v>
      </c>
      <c r="B389">
        <v>238</v>
      </c>
      <c r="C389">
        <v>29</v>
      </c>
      <c r="D389" s="1">
        <v>3333</v>
      </c>
      <c r="E389" s="1" t="s">
        <v>16</v>
      </c>
      <c r="F389">
        <v>202</v>
      </c>
      <c r="G389">
        <v>1</v>
      </c>
      <c r="J389">
        <v>2.1</v>
      </c>
    </row>
    <row r="390" spans="1:15" x14ac:dyDescent="0.3">
      <c r="A390">
        <v>2018</v>
      </c>
      <c r="B390">
        <v>240</v>
      </c>
      <c r="C390">
        <v>1</v>
      </c>
      <c r="D390" s="1">
        <v>3347</v>
      </c>
      <c r="E390" s="1" t="s">
        <v>16</v>
      </c>
      <c r="F390">
        <v>202</v>
      </c>
      <c r="G390">
        <v>1</v>
      </c>
      <c r="J390">
        <v>8.1999999999999993</v>
      </c>
      <c r="K390">
        <v>47</v>
      </c>
      <c r="M390" s="1">
        <v>34</v>
      </c>
    </row>
    <row r="391" spans="1:15" x14ac:dyDescent="0.3">
      <c r="A391">
        <v>2018</v>
      </c>
      <c r="B391">
        <v>240</v>
      </c>
      <c r="C391">
        <v>2</v>
      </c>
      <c r="D391" s="1">
        <v>3348</v>
      </c>
      <c r="E391" s="1" t="s">
        <v>16</v>
      </c>
      <c r="F391">
        <v>202</v>
      </c>
      <c r="G391">
        <v>1</v>
      </c>
      <c r="J391">
        <v>14.6</v>
      </c>
      <c r="K391">
        <v>68</v>
      </c>
      <c r="M391" s="1">
        <v>57</v>
      </c>
    </row>
    <row r="392" spans="1:15" x14ac:dyDescent="0.3">
      <c r="A392">
        <v>2018</v>
      </c>
      <c r="B392">
        <v>240</v>
      </c>
      <c r="C392">
        <v>3</v>
      </c>
      <c r="D392" s="1">
        <v>3349</v>
      </c>
      <c r="E392" s="1" t="s">
        <v>16</v>
      </c>
      <c r="F392">
        <v>202</v>
      </c>
      <c r="G392">
        <v>1</v>
      </c>
      <c r="J392">
        <v>6.4</v>
      </c>
      <c r="K392">
        <v>39</v>
      </c>
      <c r="M392" s="1">
        <v>28</v>
      </c>
      <c r="O392">
        <v>4</v>
      </c>
    </row>
    <row r="393" spans="1:15" x14ac:dyDescent="0.3">
      <c r="A393">
        <v>2018</v>
      </c>
      <c r="B393">
        <v>240</v>
      </c>
      <c r="C393">
        <v>4</v>
      </c>
      <c r="D393" s="1">
        <v>3350</v>
      </c>
      <c r="E393" s="1" t="s">
        <v>16</v>
      </c>
      <c r="F393">
        <v>202</v>
      </c>
      <c r="G393">
        <v>1</v>
      </c>
      <c r="J393">
        <v>7.1</v>
      </c>
      <c r="K393">
        <v>32</v>
      </c>
      <c r="M393" s="1">
        <v>18</v>
      </c>
    </row>
    <row r="394" spans="1:15" x14ac:dyDescent="0.3">
      <c r="A394">
        <v>2018</v>
      </c>
      <c r="B394">
        <v>240</v>
      </c>
      <c r="C394">
        <v>5</v>
      </c>
      <c r="D394" s="1">
        <v>3351</v>
      </c>
      <c r="E394" s="1" t="s">
        <v>16</v>
      </c>
      <c r="F394">
        <v>202</v>
      </c>
      <c r="G394">
        <v>1</v>
      </c>
      <c r="J394">
        <v>12.4</v>
      </c>
      <c r="K394">
        <v>58</v>
      </c>
      <c r="M394" s="1">
        <v>50</v>
      </c>
    </row>
    <row r="395" spans="1:15" x14ac:dyDescent="0.3">
      <c r="A395">
        <v>2018</v>
      </c>
      <c r="B395">
        <v>240</v>
      </c>
      <c r="C395">
        <v>6</v>
      </c>
      <c r="D395" s="1">
        <v>3352</v>
      </c>
      <c r="E395" s="1" t="s">
        <v>16</v>
      </c>
      <c r="F395">
        <v>202</v>
      </c>
      <c r="G395">
        <v>1</v>
      </c>
      <c r="J395">
        <v>6.4</v>
      </c>
      <c r="K395">
        <v>38</v>
      </c>
      <c r="M395" s="1">
        <v>20</v>
      </c>
    </row>
    <row r="396" spans="1:15" x14ac:dyDescent="0.3">
      <c r="A396">
        <v>2018</v>
      </c>
      <c r="B396">
        <v>240</v>
      </c>
      <c r="C396">
        <v>7</v>
      </c>
      <c r="D396" s="1">
        <v>3353</v>
      </c>
      <c r="E396" s="1" t="s">
        <v>16</v>
      </c>
      <c r="F396">
        <v>202</v>
      </c>
      <c r="G396">
        <v>1</v>
      </c>
      <c r="J396">
        <v>6.5</v>
      </c>
      <c r="K396">
        <v>42</v>
      </c>
      <c r="M396" s="1">
        <v>20</v>
      </c>
    </row>
    <row r="397" spans="1:15" x14ac:dyDescent="0.3">
      <c r="A397">
        <v>2018</v>
      </c>
      <c r="B397">
        <v>240</v>
      </c>
      <c r="C397">
        <v>8</v>
      </c>
      <c r="D397" s="1">
        <v>3354</v>
      </c>
      <c r="E397" s="1" t="s">
        <v>16</v>
      </c>
      <c r="F397">
        <v>202</v>
      </c>
      <c r="G397">
        <v>1</v>
      </c>
      <c r="J397">
        <v>15.9</v>
      </c>
      <c r="K397">
        <v>65</v>
      </c>
      <c r="M397" s="1">
        <v>55</v>
      </c>
    </row>
    <row r="398" spans="1:15" x14ac:dyDescent="0.3">
      <c r="A398">
        <v>2018</v>
      </c>
      <c r="B398">
        <v>240</v>
      </c>
      <c r="C398">
        <v>9</v>
      </c>
      <c r="D398" s="1">
        <v>3355</v>
      </c>
      <c r="E398" s="1" t="s">
        <v>16</v>
      </c>
      <c r="F398">
        <v>202</v>
      </c>
      <c r="G398">
        <v>1</v>
      </c>
      <c r="J398">
        <v>10.6</v>
      </c>
      <c r="K398">
        <v>59</v>
      </c>
      <c r="M398" s="1">
        <v>49</v>
      </c>
    </row>
    <row r="399" spans="1:15" x14ac:dyDescent="0.3">
      <c r="A399">
        <v>2018</v>
      </c>
      <c r="B399">
        <v>240</v>
      </c>
      <c r="C399">
        <v>10</v>
      </c>
      <c r="D399" s="1">
        <v>3356</v>
      </c>
      <c r="E399" s="1" t="s">
        <v>16</v>
      </c>
      <c r="F399">
        <v>202</v>
      </c>
      <c r="G399">
        <v>1</v>
      </c>
      <c r="J399">
        <v>14.6</v>
      </c>
      <c r="K399">
        <v>62</v>
      </c>
      <c r="M399" s="1">
        <v>50</v>
      </c>
    </row>
    <row r="400" spans="1:15" x14ac:dyDescent="0.3">
      <c r="A400">
        <v>2018</v>
      </c>
      <c r="B400">
        <v>240</v>
      </c>
      <c r="C400">
        <v>11</v>
      </c>
      <c r="D400" s="1">
        <v>3357</v>
      </c>
      <c r="E400" s="1" t="s">
        <v>16</v>
      </c>
      <c r="F400">
        <v>202</v>
      </c>
      <c r="G400">
        <v>1</v>
      </c>
      <c r="J400">
        <v>9.1</v>
      </c>
      <c r="K400">
        <v>51</v>
      </c>
      <c r="M400" s="1">
        <v>36</v>
      </c>
    </row>
    <row r="401" spans="1:16" x14ac:dyDescent="0.3">
      <c r="A401">
        <v>2018</v>
      </c>
      <c r="B401">
        <v>240</v>
      </c>
      <c r="C401">
        <v>12</v>
      </c>
      <c r="D401" s="1">
        <v>3358</v>
      </c>
      <c r="E401" s="1" t="s">
        <v>16</v>
      </c>
      <c r="F401">
        <v>202</v>
      </c>
      <c r="G401">
        <v>1</v>
      </c>
      <c r="J401">
        <v>8.3000000000000007</v>
      </c>
      <c r="K401">
        <v>49</v>
      </c>
      <c r="M401" s="1">
        <v>39</v>
      </c>
    </row>
    <row r="402" spans="1:16" x14ac:dyDescent="0.3">
      <c r="A402">
        <v>2018</v>
      </c>
      <c r="B402">
        <v>240</v>
      </c>
      <c r="C402">
        <v>13</v>
      </c>
      <c r="D402" s="1">
        <v>3359</v>
      </c>
      <c r="E402" s="1" t="s">
        <v>16</v>
      </c>
      <c r="F402">
        <v>202</v>
      </c>
      <c r="G402">
        <v>1</v>
      </c>
      <c r="J402">
        <v>11.6</v>
      </c>
      <c r="K402">
        <v>42</v>
      </c>
      <c r="M402" s="1">
        <v>30</v>
      </c>
      <c r="P402" t="s">
        <v>64</v>
      </c>
    </row>
    <row r="403" spans="1:16" x14ac:dyDescent="0.3">
      <c r="A403">
        <v>2018</v>
      </c>
      <c r="B403">
        <v>240</v>
      </c>
      <c r="C403">
        <v>14</v>
      </c>
      <c r="D403" s="1">
        <v>3360</v>
      </c>
      <c r="E403" s="1" t="s">
        <v>16</v>
      </c>
      <c r="F403">
        <v>202</v>
      </c>
      <c r="G403">
        <v>1</v>
      </c>
      <c r="J403">
        <v>6.5</v>
      </c>
      <c r="K403">
        <v>32</v>
      </c>
      <c r="M403" s="1">
        <v>14</v>
      </c>
    </row>
    <row r="404" spans="1:16" x14ac:dyDescent="0.3">
      <c r="A404">
        <v>2018</v>
      </c>
      <c r="B404">
        <v>240</v>
      </c>
      <c r="C404">
        <v>15</v>
      </c>
      <c r="D404" s="1">
        <v>3361</v>
      </c>
      <c r="E404" s="1" t="s">
        <v>16</v>
      </c>
      <c r="F404">
        <v>202</v>
      </c>
      <c r="G404">
        <v>1</v>
      </c>
      <c r="J404">
        <v>5.3</v>
      </c>
      <c r="K404">
        <v>23</v>
      </c>
      <c r="M404" s="1">
        <v>9</v>
      </c>
    </row>
    <row r="405" spans="1:16" x14ac:dyDescent="0.3">
      <c r="A405">
        <v>2018</v>
      </c>
      <c r="B405">
        <v>240</v>
      </c>
      <c r="C405">
        <v>16</v>
      </c>
      <c r="D405" s="1">
        <v>3362</v>
      </c>
      <c r="E405" s="1" t="s">
        <v>16</v>
      </c>
      <c r="F405">
        <v>202</v>
      </c>
      <c r="G405">
        <v>1</v>
      </c>
      <c r="J405">
        <v>18.600000000000001</v>
      </c>
      <c r="K405">
        <v>62</v>
      </c>
      <c r="M405" s="1">
        <v>52</v>
      </c>
    </row>
    <row r="406" spans="1:16" x14ac:dyDescent="0.3">
      <c r="A406">
        <v>2018</v>
      </c>
      <c r="B406">
        <v>240</v>
      </c>
      <c r="C406">
        <v>17</v>
      </c>
      <c r="D406" s="1">
        <v>3363</v>
      </c>
      <c r="E406" s="1" t="s">
        <v>16</v>
      </c>
      <c r="F406">
        <v>202</v>
      </c>
      <c r="G406">
        <v>1</v>
      </c>
      <c r="J406">
        <v>10.7</v>
      </c>
      <c r="K406">
        <v>54</v>
      </c>
      <c r="M406" s="1">
        <v>38</v>
      </c>
    </row>
    <row r="407" spans="1:16" x14ac:dyDescent="0.3">
      <c r="A407">
        <v>2018</v>
      </c>
      <c r="B407">
        <v>240</v>
      </c>
      <c r="C407">
        <v>18</v>
      </c>
      <c r="D407" s="1">
        <v>3364</v>
      </c>
      <c r="E407" s="1" t="s">
        <v>16</v>
      </c>
      <c r="F407">
        <v>202</v>
      </c>
      <c r="G407">
        <v>1</v>
      </c>
      <c r="J407">
        <v>20.2</v>
      </c>
      <c r="K407">
        <v>74</v>
      </c>
      <c r="M407" s="1">
        <v>63</v>
      </c>
    </row>
    <row r="408" spans="1:16" x14ac:dyDescent="0.3">
      <c r="A408">
        <v>2018</v>
      </c>
      <c r="B408">
        <v>240</v>
      </c>
      <c r="C408">
        <v>19</v>
      </c>
      <c r="D408" s="1">
        <v>3365</v>
      </c>
      <c r="E408" s="1" t="s">
        <v>16</v>
      </c>
      <c r="F408">
        <v>202</v>
      </c>
      <c r="G408">
        <v>1</v>
      </c>
      <c r="J408">
        <v>18.2</v>
      </c>
      <c r="K408">
        <v>72</v>
      </c>
      <c r="M408" s="1">
        <v>61</v>
      </c>
    </row>
    <row r="409" spans="1:16" x14ac:dyDescent="0.3">
      <c r="A409">
        <v>2018</v>
      </c>
      <c r="B409">
        <v>240</v>
      </c>
      <c r="C409">
        <v>20</v>
      </c>
      <c r="D409" s="1">
        <v>3366</v>
      </c>
      <c r="E409" s="1" t="s">
        <v>16</v>
      </c>
      <c r="F409">
        <v>202</v>
      </c>
      <c r="G409">
        <v>1</v>
      </c>
      <c r="J409">
        <v>12.5</v>
      </c>
      <c r="K409">
        <v>55</v>
      </c>
      <c r="M409" s="1">
        <v>48</v>
      </c>
    </row>
    <row r="410" spans="1:16" x14ac:dyDescent="0.3">
      <c r="A410">
        <v>2018</v>
      </c>
      <c r="B410">
        <v>240</v>
      </c>
      <c r="C410">
        <v>21</v>
      </c>
      <c r="D410" s="1">
        <v>3367</v>
      </c>
      <c r="E410" s="1" t="s">
        <v>19</v>
      </c>
      <c r="F410">
        <v>202</v>
      </c>
      <c r="G410">
        <v>1</v>
      </c>
      <c r="J410">
        <v>1.7</v>
      </c>
    </row>
    <row r="411" spans="1:16" x14ac:dyDescent="0.3">
      <c r="A411">
        <v>2018</v>
      </c>
      <c r="B411">
        <v>242</v>
      </c>
      <c r="C411">
        <v>1</v>
      </c>
      <c r="D411" s="1">
        <v>3378</v>
      </c>
      <c r="E411" s="1" t="s">
        <v>16</v>
      </c>
      <c r="F411">
        <v>93</v>
      </c>
      <c r="G411">
        <v>1</v>
      </c>
      <c r="J411">
        <v>5.0999999999999996</v>
      </c>
      <c r="K411">
        <v>25</v>
      </c>
      <c r="M411" s="1">
        <v>12</v>
      </c>
    </row>
    <row r="412" spans="1:16" x14ac:dyDescent="0.3">
      <c r="A412">
        <v>2018</v>
      </c>
      <c r="B412">
        <v>242</v>
      </c>
      <c r="C412">
        <v>2</v>
      </c>
      <c r="D412" s="1">
        <v>3379</v>
      </c>
      <c r="E412" s="1" t="s">
        <v>25</v>
      </c>
      <c r="F412">
        <v>17</v>
      </c>
      <c r="G412">
        <v>1</v>
      </c>
      <c r="J412">
        <v>8</v>
      </c>
      <c r="K412">
        <v>54</v>
      </c>
      <c r="M412" s="1">
        <v>29</v>
      </c>
      <c r="O412">
        <v>2</v>
      </c>
      <c r="P412" t="s">
        <v>65</v>
      </c>
    </row>
    <row r="413" spans="1:16" x14ac:dyDescent="0.3">
      <c r="A413">
        <v>2018</v>
      </c>
      <c r="B413">
        <v>242</v>
      </c>
      <c r="C413">
        <v>3</v>
      </c>
      <c r="D413" s="1">
        <v>3380</v>
      </c>
      <c r="E413" s="1" t="s">
        <v>34</v>
      </c>
      <c r="F413">
        <v>17</v>
      </c>
      <c r="G413">
        <v>2</v>
      </c>
      <c r="I413">
        <v>1</v>
      </c>
      <c r="J413">
        <v>6.8</v>
      </c>
      <c r="K413">
        <v>45</v>
      </c>
      <c r="M413" s="1">
        <v>23</v>
      </c>
      <c r="P413" t="s">
        <v>66</v>
      </c>
    </row>
    <row r="414" spans="1:16" x14ac:dyDescent="0.3">
      <c r="A414">
        <v>2018</v>
      </c>
      <c r="B414">
        <v>242</v>
      </c>
      <c r="C414">
        <v>4</v>
      </c>
      <c r="D414" s="1">
        <v>3381</v>
      </c>
      <c r="E414" s="1" t="s">
        <v>16</v>
      </c>
      <c r="F414">
        <v>93</v>
      </c>
      <c r="G414">
        <v>1</v>
      </c>
      <c r="J414">
        <v>18.600000000000001</v>
      </c>
      <c r="K414">
        <v>92</v>
      </c>
      <c r="M414" s="1">
        <v>76</v>
      </c>
    </row>
    <row r="415" spans="1:16" x14ac:dyDescent="0.3">
      <c r="A415">
        <v>2018</v>
      </c>
      <c r="B415">
        <v>242</v>
      </c>
      <c r="C415">
        <v>5</v>
      </c>
      <c r="D415" s="1">
        <v>3382</v>
      </c>
      <c r="E415" s="1" t="s">
        <v>24</v>
      </c>
      <c r="F415">
        <v>17</v>
      </c>
      <c r="G415">
        <v>2</v>
      </c>
      <c r="I415">
        <v>1</v>
      </c>
      <c r="J415">
        <v>10.8</v>
      </c>
      <c r="K415">
        <v>66</v>
      </c>
      <c r="M415" s="1">
        <v>49</v>
      </c>
      <c r="O415">
        <v>1</v>
      </c>
    </row>
    <row r="416" spans="1:16" x14ac:dyDescent="0.3">
      <c r="A416">
        <v>2018</v>
      </c>
      <c r="B416">
        <v>242</v>
      </c>
      <c r="C416">
        <v>6</v>
      </c>
      <c r="D416" s="1">
        <v>3383</v>
      </c>
      <c r="E416" s="1" t="s">
        <v>16</v>
      </c>
      <c r="F416">
        <v>202</v>
      </c>
      <c r="G416">
        <v>1</v>
      </c>
      <c r="J416">
        <v>11.7</v>
      </c>
      <c r="K416">
        <v>58</v>
      </c>
      <c r="M416" s="1">
        <v>45</v>
      </c>
    </row>
    <row r="417" spans="1:16" x14ac:dyDescent="0.3">
      <c r="A417">
        <v>2018</v>
      </c>
      <c r="B417">
        <v>242</v>
      </c>
      <c r="C417">
        <v>7</v>
      </c>
      <c r="D417" s="1">
        <v>3384</v>
      </c>
      <c r="E417" s="1" t="s">
        <v>16</v>
      </c>
      <c r="F417">
        <v>93</v>
      </c>
      <c r="G417">
        <v>1</v>
      </c>
      <c r="J417">
        <v>6.1</v>
      </c>
      <c r="K417">
        <v>44</v>
      </c>
      <c r="M417" s="1">
        <v>22</v>
      </c>
      <c r="O417">
        <v>1</v>
      </c>
    </row>
    <row r="418" spans="1:16" x14ac:dyDescent="0.3">
      <c r="A418">
        <v>2018</v>
      </c>
      <c r="B418">
        <v>242</v>
      </c>
      <c r="C418">
        <v>8</v>
      </c>
      <c r="D418" s="1">
        <v>3385</v>
      </c>
      <c r="E418" s="1" t="s">
        <v>16</v>
      </c>
      <c r="F418">
        <v>108</v>
      </c>
      <c r="G418">
        <v>1</v>
      </c>
      <c r="J418">
        <v>6.8</v>
      </c>
      <c r="K418">
        <v>59</v>
      </c>
      <c r="M418" s="1">
        <v>35</v>
      </c>
    </row>
    <row r="419" spans="1:16" x14ac:dyDescent="0.3">
      <c r="A419">
        <v>2018</v>
      </c>
      <c r="B419">
        <v>242</v>
      </c>
      <c r="C419">
        <v>9</v>
      </c>
      <c r="D419" s="1">
        <v>3386</v>
      </c>
      <c r="E419" s="1" t="s">
        <v>34</v>
      </c>
      <c r="F419">
        <v>17</v>
      </c>
      <c r="G419">
        <v>2</v>
      </c>
      <c r="I419">
        <v>1</v>
      </c>
      <c r="J419">
        <v>7.3</v>
      </c>
      <c r="K419">
        <v>50</v>
      </c>
      <c r="L419">
        <v>46</v>
      </c>
      <c r="M419" s="1">
        <v>27</v>
      </c>
      <c r="N419" s="1">
        <v>1</v>
      </c>
    </row>
    <row r="420" spans="1:16" x14ac:dyDescent="0.3">
      <c r="A420">
        <v>2018</v>
      </c>
      <c r="B420">
        <v>242</v>
      </c>
      <c r="C420">
        <v>10</v>
      </c>
      <c r="D420" s="1">
        <v>3387</v>
      </c>
      <c r="E420" s="1" t="s">
        <v>24</v>
      </c>
      <c r="F420">
        <v>17</v>
      </c>
      <c r="G420">
        <v>2</v>
      </c>
      <c r="I420">
        <v>1</v>
      </c>
      <c r="J420">
        <v>9.3000000000000007</v>
      </c>
      <c r="K420">
        <v>78</v>
      </c>
      <c r="M420" s="1">
        <v>48</v>
      </c>
    </row>
    <row r="421" spans="1:16" x14ac:dyDescent="0.3">
      <c r="A421">
        <v>2018</v>
      </c>
      <c r="B421">
        <v>242</v>
      </c>
      <c r="C421">
        <v>11</v>
      </c>
      <c r="D421" s="1">
        <v>3388</v>
      </c>
      <c r="E421" s="1" t="s">
        <v>16</v>
      </c>
      <c r="F421">
        <v>93</v>
      </c>
      <c r="G421">
        <v>1</v>
      </c>
      <c r="J421">
        <v>12.5</v>
      </c>
      <c r="K421">
        <v>85</v>
      </c>
      <c r="M421" s="1">
        <v>64</v>
      </c>
    </row>
    <row r="422" spans="1:16" x14ac:dyDescent="0.3">
      <c r="A422">
        <v>2018</v>
      </c>
      <c r="B422">
        <v>242</v>
      </c>
      <c r="C422">
        <v>12</v>
      </c>
      <c r="D422" s="1">
        <v>3389</v>
      </c>
      <c r="E422" s="1" t="s">
        <v>16</v>
      </c>
      <c r="F422">
        <v>93</v>
      </c>
      <c r="G422">
        <v>1</v>
      </c>
      <c r="J422">
        <v>8.3000000000000007</v>
      </c>
      <c r="K422">
        <v>49</v>
      </c>
      <c r="M422" s="1">
        <v>39</v>
      </c>
    </row>
    <row r="423" spans="1:16" x14ac:dyDescent="0.3">
      <c r="A423">
        <v>2018</v>
      </c>
      <c r="B423">
        <v>242</v>
      </c>
      <c r="C423">
        <v>13</v>
      </c>
      <c r="D423" s="1">
        <v>3390</v>
      </c>
      <c r="E423" s="1" t="s">
        <v>24</v>
      </c>
      <c r="F423">
        <v>17</v>
      </c>
      <c r="G423">
        <v>2</v>
      </c>
      <c r="I423">
        <v>3</v>
      </c>
      <c r="J423">
        <v>7.2</v>
      </c>
      <c r="K423">
        <v>52</v>
      </c>
      <c r="L423">
        <v>51</v>
      </c>
      <c r="M423" s="1">
        <v>32</v>
      </c>
      <c r="N423" s="1">
        <v>2</v>
      </c>
    </row>
    <row r="424" spans="1:16" x14ac:dyDescent="0.3">
      <c r="A424">
        <v>2018</v>
      </c>
      <c r="B424">
        <v>242</v>
      </c>
      <c r="C424">
        <v>14</v>
      </c>
      <c r="D424" s="1">
        <v>3391</v>
      </c>
      <c r="E424" s="1" t="s">
        <v>16</v>
      </c>
      <c r="F424">
        <v>93</v>
      </c>
      <c r="G424">
        <v>1</v>
      </c>
      <c r="J424">
        <v>13.8</v>
      </c>
      <c r="K424">
        <v>89</v>
      </c>
      <c r="M424" s="1">
        <v>67</v>
      </c>
    </row>
    <row r="425" spans="1:16" x14ac:dyDescent="0.3">
      <c r="A425">
        <v>2018</v>
      </c>
      <c r="B425">
        <v>242</v>
      </c>
      <c r="C425">
        <v>15</v>
      </c>
      <c r="D425" s="1">
        <v>3392</v>
      </c>
      <c r="E425" s="1" t="s">
        <v>16</v>
      </c>
      <c r="F425">
        <v>93</v>
      </c>
      <c r="G425">
        <v>1</v>
      </c>
      <c r="J425">
        <v>11.9</v>
      </c>
      <c r="K425">
        <v>76</v>
      </c>
      <c r="M425" s="1">
        <v>57</v>
      </c>
    </row>
    <row r="426" spans="1:16" x14ac:dyDescent="0.3">
      <c r="A426">
        <v>2018</v>
      </c>
      <c r="B426">
        <v>242</v>
      </c>
      <c r="C426">
        <v>16</v>
      </c>
      <c r="D426" s="1">
        <v>3393</v>
      </c>
      <c r="E426" s="1" t="s">
        <v>16</v>
      </c>
      <c r="F426">
        <v>202</v>
      </c>
      <c r="G426">
        <v>1</v>
      </c>
      <c r="J426">
        <v>16</v>
      </c>
      <c r="K426">
        <v>75</v>
      </c>
      <c r="M426" s="1">
        <v>56</v>
      </c>
    </row>
    <row r="427" spans="1:16" x14ac:dyDescent="0.3">
      <c r="A427">
        <v>2018</v>
      </c>
      <c r="B427">
        <v>242</v>
      </c>
      <c r="C427">
        <v>17</v>
      </c>
      <c r="D427" s="1">
        <v>3394</v>
      </c>
      <c r="E427" s="1" t="s">
        <v>34</v>
      </c>
      <c r="F427">
        <v>108</v>
      </c>
      <c r="G427">
        <v>2</v>
      </c>
      <c r="I427">
        <v>2</v>
      </c>
      <c r="J427">
        <v>8.6999999999999993</v>
      </c>
      <c r="K427">
        <v>60</v>
      </c>
      <c r="M427" s="1">
        <v>42</v>
      </c>
    </row>
    <row r="428" spans="1:16" x14ac:dyDescent="0.3">
      <c r="A428">
        <v>2018</v>
      </c>
      <c r="B428">
        <v>242</v>
      </c>
      <c r="C428">
        <v>18</v>
      </c>
      <c r="D428" s="1">
        <v>3395</v>
      </c>
      <c r="E428" s="1" t="s">
        <v>34</v>
      </c>
      <c r="F428">
        <v>108</v>
      </c>
      <c r="G428">
        <v>2</v>
      </c>
      <c r="I428">
        <v>1</v>
      </c>
      <c r="J428">
        <v>6.6</v>
      </c>
      <c r="K428">
        <v>47</v>
      </c>
      <c r="M428" s="1">
        <v>29</v>
      </c>
      <c r="P428" t="s">
        <v>67</v>
      </c>
    </row>
    <row r="429" spans="1:16" x14ac:dyDescent="0.3">
      <c r="A429">
        <v>2018</v>
      </c>
      <c r="B429">
        <v>242</v>
      </c>
      <c r="C429">
        <v>19</v>
      </c>
      <c r="D429" s="1">
        <v>3396</v>
      </c>
      <c r="E429" s="1" t="s">
        <v>16</v>
      </c>
      <c r="F429">
        <v>202</v>
      </c>
      <c r="G429">
        <v>1</v>
      </c>
      <c r="J429">
        <v>12.4</v>
      </c>
      <c r="K429">
        <v>52</v>
      </c>
      <c r="M429" s="1">
        <v>38</v>
      </c>
    </row>
    <row r="430" spans="1:16" x14ac:dyDescent="0.3">
      <c r="A430">
        <v>2018</v>
      </c>
      <c r="B430">
        <v>242</v>
      </c>
      <c r="C430">
        <v>20</v>
      </c>
      <c r="D430" s="1">
        <v>3397</v>
      </c>
      <c r="E430" s="1" t="s">
        <v>16</v>
      </c>
      <c r="F430">
        <v>93</v>
      </c>
      <c r="G430">
        <v>1</v>
      </c>
      <c r="J430">
        <v>1.7</v>
      </c>
    </row>
    <row r="431" spans="1:16" x14ac:dyDescent="0.3">
      <c r="A431">
        <v>2018</v>
      </c>
      <c r="B431">
        <v>242</v>
      </c>
      <c r="C431">
        <v>21</v>
      </c>
      <c r="D431" s="1">
        <v>3398</v>
      </c>
      <c r="E431" s="1" t="s">
        <v>16</v>
      </c>
      <c r="F431">
        <v>93</v>
      </c>
      <c r="G431">
        <v>1</v>
      </c>
      <c r="J431">
        <v>1.4</v>
      </c>
    </row>
    <row r="432" spans="1:16" x14ac:dyDescent="0.3">
      <c r="A432">
        <v>2018</v>
      </c>
      <c r="B432">
        <v>242</v>
      </c>
      <c r="C432">
        <v>22</v>
      </c>
      <c r="D432" s="1">
        <v>3399</v>
      </c>
      <c r="E432" s="1" t="s">
        <v>16</v>
      </c>
      <c r="F432">
        <v>17</v>
      </c>
      <c r="G432">
        <v>1</v>
      </c>
      <c r="J432">
        <v>2.6</v>
      </c>
      <c r="P432" t="s">
        <v>65</v>
      </c>
    </row>
    <row r="433" spans="1:14" x14ac:dyDescent="0.3">
      <c r="A433">
        <v>2018</v>
      </c>
      <c r="B433">
        <v>242</v>
      </c>
      <c r="C433">
        <v>23</v>
      </c>
      <c r="D433" s="1">
        <v>3400</v>
      </c>
      <c r="E433" s="1" t="s">
        <v>16</v>
      </c>
      <c r="F433">
        <v>17</v>
      </c>
      <c r="G433">
        <v>1</v>
      </c>
      <c r="J433">
        <v>2.2999999999999998</v>
      </c>
    </row>
    <row r="434" spans="1:14" x14ac:dyDescent="0.3">
      <c r="A434">
        <v>2018</v>
      </c>
      <c r="B434">
        <v>242</v>
      </c>
      <c r="C434">
        <v>24</v>
      </c>
      <c r="D434" s="1">
        <v>3401</v>
      </c>
      <c r="E434" s="1" t="s">
        <v>16</v>
      </c>
      <c r="F434">
        <v>93</v>
      </c>
      <c r="G434">
        <v>1</v>
      </c>
      <c r="J434">
        <v>1.2</v>
      </c>
    </row>
    <row r="435" spans="1:14" x14ac:dyDescent="0.3">
      <c r="A435">
        <v>2018</v>
      </c>
      <c r="B435">
        <v>242</v>
      </c>
      <c r="C435">
        <v>25</v>
      </c>
      <c r="D435" s="1">
        <v>3402</v>
      </c>
      <c r="E435" s="1" t="s">
        <v>16</v>
      </c>
      <c r="F435">
        <v>17</v>
      </c>
      <c r="G435">
        <v>1</v>
      </c>
      <c r="J435">
        <v>1.7</v>
      </c>
    </row>
    <row r="436" spans="1:14" x14ac:dyDescent="0.3">
      <c r="A436">
        <v>2018</v>
      </c>
      <c r="B436">
        <v>242</v>
      </c>
      <c r="C436">
        <v>26</v>
      </c>
      <c r="D436" s="1">
        <v>3403</v>
      </c>
      <c r="E436" s="1" t="s">
        <v>16</v>
      </c>
      <c r="F436">
        <v>93</v>
      </c>
      <c r="G436">
        <v>1</v>
      </c>
      <c r="J436">
        <v>2</v>
      </c>
    </row>
    <row r="437" spans="1:14" x14ac:dyDescent="0.3">
      <c r="A437">
        <v>2018</v>
      </c>
      <c r="B437">
        <v>242</v>
      </c>
      <c r="C437">
        <v>27</v>
      </c>
      <c r="D437" s="1">
        <v>3404</v>
      </c>
      <c r="E437" s="1" t="s">
        <v>16</v>
      </c>
      <c r="F437">
        <v>17</v>
      </c>
      <c r="G437">
        <v>1</v>
      </c>
      <c r="J437">
        <v>1.2</v>
      </c>
    </row>
    <row r="438" spans="1:14" x14ac:dyDescent="0.3">
      <c r="A438">
        <v>2018</v>
      </c>
      <c r="B438">
        <v>242</v>
      </c>
      <c r="C438">
        <v>28</v>
      </c>
      <c r="D438" s="1">
        <v>3405</v>
      </c>
      <c r="E438" s="1" t="s">
        <v>16</v>
      </c>
      <c r="F438">
        <v>93</v>
      </c>
      <c r="G438">
        <v>1</v>
      </c>
      <c r="J438">
        <v>1.9</v>
      </c>
    </row>
    <row r="439" spans="1:14" x14ac:dyDescent="0.3">
      <c r="A439">
        <v>2018</v>
      </c>
      <c r="B439">
        <v>242</v>
      </c>
      <c r="C439">
        <v>29</v>
      </c>
      <c r="D439" s="1">
        <v>3406</v>
      </c>
      <c r="E439" s="1" t="s">
        <v>16</v>
      </c>
      <c r="F439">
        <v>93</v>
      </c>
      <c r="G439">
        <v>1</v>
      </c>
      <c r="J439">
        <v>1.4</v>
      </c>
    </row>
    <row r="440" spans="1:14" x14ac:dyDescent="0.3">
      <c r="A440">
        <v>2018</v>
      </c>
      <c r="B440">
        <v>242</v>
      </c>
      <c r="C440">
        <v>30</v>
      </c>
      <c r="D440" s="1">
        <v>3407</v>
      </c>
      <c r="E440" s="1" t="s">
        <v>16</v>
      </c>
      <c r="F440">
        <v>17</v>
      </c>
      <c r="G440">
        <v>1</v>
      </c>
      <c r="J440">
        <v>3.4</v>
      </c>
    </row>
    <row r="441" spans="1:14" x14ac:dyDescent="0.3">
      <c r="A441">
        <v>2018</v>
      </c>
      <c r="B441">
        <v>243</v>
      </c>
      <c r="C441">
        <v>1</v>
      </c>
      <c r="D441" s="1">
        <v>3408</v>
      </c>
      <c r="E441" s="1" t="s">
        <v>16</v>
      </c>
      <c r="F441">
        <v>93</v>
      </c>
      <c r="G441">
        <v>1</v>
      </c>
      <c r="J441">
        <v>12.4</v>
      </c>
      <c r="K441">
        <v>80</v>
      </c>
      <c r="M441" s="1">
        <v>62</v>
      </c>
    </row>
    <row r="442" spans="1:14" x14ac:dyDescent="0.3">
      <c r="A442">
        <v>2018</v>
      </c>
      <c r="B442">
        <v>243</v>
      </c>
      <c r="C442">
        <v>2</v>
      </c>
      <c r="D442" s="1">
        <v>3409</v>
      </c>
      <c r="E442" s="1" t="s">
        <v>16</v>
      </c>
      <c r="F442">
        <v>93</v>
      </c>
      <c r="G442">
        <v>1</v>
      </c>
      <c r="J442">
        <v>10.199999999999999</v>
      </c>
      <c r="K442">
        <v>66</v>
      </c>
      <c r="M442" s="1">
        <v>49</v>
      </c>
    </row>
    <row r="443" spans="1:14" x14ac:dyDescent="0.3">
      <c r="A443">
        <v>2018</v>
      </c>
      <c r="B443">
        <v>243</v>
      </c>
      <c r="C443">
        <v>3</v>
      </c>
      <c r="D443" s="1">
        <v>3410</v>
      </c>
      <c r="E443" s="1" t="s">
        <v>34</v>
      </c>
      <c r="F443">
        <v>202</v>
      </c>
      <c r="G443">
        <v>2</v>
      </c>
      <c r="I443">
        <v>2</v>
      </c>
      <c r="J443">
        <v>10</v>
      </c>
      <c r="K443">
        <v>71</v>
      </c>
      <c r="L443">
        <v>16</v>
      </c>
      <c r="M443" s="1">
        <v>57</v>
      </c>
      <c r="N443" s="1">
        <v>9</v>
      </c>
    </row>
    <row r="444" spans="1:14" x14ac:dyDescent="0.3">
      <c r="A444">
        <v>2018</v>
      </c>
      <c r="B444">
        <v>243</v>
      </c>
      <c r="C444">
        <v>4</v>
      </c>
      <c r="D444" s="1">
        <v>3411</v>
      </c>
      <c r="E444" s="1" t="s">
        <v>25</v>
      </c>
      <c r="F444">
        <v>93</v>
      </c>
      <c r="G444">
        <v>1</v>
      </c>
      <c r="J444">
        <v>6.8</v>
      </c>
      <c r="K444">
        <v>50</v>
      </c>
      <c r="M444" s="1">
        <v>30</v>
      </c>
    </row>
    <row r="445" spans="1:14" x14ac:dyDescent="0.3">
      <c r="A445">
        <v>2018</v>
      </c>
      <c r="B445">
        <v>243</v>
      </c>
      <c r="C445">
        <v>5</v>
      </c>
      <c r="D445" s="1">
        <v>3412</v>
      </c>
      <c r="E445" s="1" t="s">
        <v>16</v>
      </c>
      <c r="F445">
        <v>202</v>
      </c>
      <c r="G445">
        <v>1</v>
      </c>
      <c r="J445">
        <v>11.2</v>
      </c>
      <c r="K445">
        <v>65</v>
      </c>
      <c r="M445" s="1">
        <v>45</v>
      </c>
    </row>
    <row r="446" spans="1:14" x14ac:dyDescent="0.3">
      <c r="A446">
        <v>2018</v>
      </c>
      <c r="B446">
        <v>243</v>
      </c>
      <c r="C446">
        <v>6</v>
      </c>
      <c r="D446" s="1">
        <v>3413</v>
      </c>
      <c r="E446" s="1" t="s">
        <v>16</v>
      </c>
      <c r="F446">
        <v>202</v>
      </c>
      <c r="G446">
        <v>1</v>
      </c>
      <c r="J446">
        <v>16.8</v>
      </c>
      <c r="K446">
        <v>85</v>
      </c>
      <c r="M446" s="1">
        <v>67</v>
      </c>
    </row>
    <row r="447" spans="1:14" x14ac:dyDescent="0.3">
      <c r="A447">
        <v>2018</v>
      </c>
      <c r="B447">
        <v>243</v>
      </c>
      <c r="C447">
        <v>7</v>
      </c>
      <c r="D447" s="1">
        <v>3414</v>
      </c>
      <c r="E447" s="1" t="s">
        <v>16</v>
      </c>
      <c r="F447">
        <v>202</v>
      </c>
      <c r="G447">
        <v>1</v>
      </c>
      <c r="J447">
        <v>12.4</v>
      </c>
      <c r="K447">
        <v>73</v>
      </c>
      <c r="M447" s="1">
        <v>56</v>
      </c>
    </row>
    <row r="448" spans="1:14" x14ac:dyDescent="0.3">
      <c r="A448">
        <v>2018</v>
      </c>
      <c r="B448">
        <v>243</v>
      </c>
      <c r="C448">
        <v>8</v>
      </c>
      <c r="D448" s="1">
        <v>3415</v>
      </c>
      <c r="E448" s="1" t="s">
        <v>16</v>
      </c>
      <c r="F448">
        <v>202</v>
      </c>
      <c r="G448">
        <v>1</v>
      </c>
      <c r="J448">
        <v>10.5</v>
      </c>
      <c r="K448">
        <v>52</v>
      </c>
      <c r="M448" s="1">
        <v>36</v>
      </c>
    </row>
    <row r="449" spans="1:16" x14ac:dyDescent="0.3">
      <c r="A449">
        <v>2018</v>
      </c>
      <c r="B449">
        <v>243</v>
      </c>
      <c r="C449">
        <v>9</v>
      </c>
      <c r="D449" s="1">
        <v>3416</v>
      </c>
      <c r="E449" s="1" t="s">
        <v>16</v>
      </c>
      <c r="F449">
        <v>202</v>
      </c>
      <c r="G449">
        <v>1</v>
      </c>
      <c r="J449">
        <v>10.5</v>
      </c>
      <c r="K449">
        <v>68</v>
      </c>
      <c r="M449" s="1">
        <v>43</v>
      </c>
      <c r="P449" t="s">
        <v>68</v>
      </c>
    </row>
    <row r="450" spans="1:16" x14ac:dyDescent="0.3">
      <c r="A450">
        <v>2018</v>
      </c>
      <c r="B450">
        <v>243</v>
      </c>
      <c r="C450">
        <v>10</v>
      </c>
      <c r="D450" s="1">
        <v>3417</v>
      </c>
      <c r="E450" s="1" t="s">
        <v>16</v>
      </c>
      <c r="F450">
        <v>93</v>
      </c>
      <c r="G450">
        <v>1</v>
      </c>
      <c r="J450">
        <v>15</v>
      </c>
      <c r="K450">
        <v>78</v>
      </c>
      <c r="M450" s="1">
        <v>57</v>
      </c>
    </row>
    <row r="451" spans="1:16" x14ac:dyDescent="0.3">
      <c r="A451">
        <v>2018</v>
      </c>
      <c r="B451">
        <v>243</v>
      </c>
      <c r="C451">
        <v>11</v>
      </c>
      <c r="D451" s="1">
        <v>3418</v>
      </c>
      <c r="E451" s="1" t="s">
        <v>16</v>
      </c>
      <c r="F451">
        <v>202</v>
      </c>
      <c r="G451">
        <v>1</v>
      </c>
      <c r="J451">
        <v>11.1</v>
      </c>
      <c r="K451">
        <v>66</v>
      </c>
      <c r="M451" s="1">
        <v>49</v>
      </c>
    </row>
    <row r="452" spans="1:16" x14ac:dyDescent="0.3">
      <c r="A452">
        <v>2018</v>
      </c>
      <c r="B452">
        <v>243</v>
      </c>
      <c r="C452">
        <v>12</v>
      </c>
      <c r="D452" s="1">
        <v>3419</v>
      </c>
      <c r="E452" s="1" t="s">
        <v>16</v>
      </c>
      <c r="F452">
        <v>202</v>
      </c>
      <c r="G452">
        <v>1</v>
      </c>
      <c r="J452">
        <v>15</v>
      </c>
      <c r="K452">
        <v>80</v>
      </c>
      <c r="M452" s="1">
        <v>60</v>
      </c>
    </row>
    <row r="453" spans="1:16" x14ac:dyDescent="0.3">
      <c r="A453">
        <v>2018</v>
      </c>
      <c r="B453">
        <v>243</v>
      </c>
      <c r="C453">
        <v>13</v>
      </c>
      <c r="D453" s="1">
        <v>3420</v>
      </c>
      <c r="E453" s="1" t="s">
        <v>16</v>
      </c>
      <c r="F453">
        <v>202</v>
      </c>
      <c r="G453">
        <v>1</v>
      </c>
      <c r="J453">
        <v>5</v>
      </c>
      <c r="K453">
        <v>21</v>
      </c>
      <c r="M453" s="1">
        <v>10</v>
      </c>
      <c r="P453" t="s">
        <v>69</v>
      </c>
    </row>
    <row r="454" spans="1:16" x14ac:dyDescent="0.3">
      <c r="A454">
        <v>2018</v>
      </c>
      <c r="B454">
        <v>243</v>
      </c>
      <c r="C454">
        <v>14</v>
      </c>
      <c r="D454" s="1">
        <v>3421</v>
      </c>
      <c r="E454" s="1" t="s">
        <v>19</v>
      </c>
      <c r="F454">
        <v>202</v>
      </c>
      <c r="G454">
        <v>1</v>
      </c>
      <c r="J454">
        <v>1.1000000000000001</v>
      </c>
    </row>
    <row r="455" spans="1:16" x14ac:dyDescent="0.3">
      <c r="A455">
        <v>2018</v>
      </c>
      <c r="B455">
        <v>243</v>
      </c>
      <c r="C455">
        <v>15</v>
      </c>
      <c r="D455" s="1">
        <v>3422</v>
      </c>
      <c r="E455" s="1" t="s">
        <v>16</v>
      </c>
      <c r="F455">
        <v>202</v>
      </c>
      <c r="G455">
        <v>1</v>
      </c>
      <c r="J455">
        <v>1.1000000000000001</v>
      </c>
    </row>
    <row r="456" spans="1:16" x14ac:dyDescent="0.3">
      <c r="A456">
        <v>2018</v>
      </c>
      <c r="B456">
        <v>243</v>
      </c>
      <c r="C456">
        <v>16</v>
      </c>
      <c r="D456" s="1">
        <v>3423</v>
      </c>
      <c r="E456" s="1" t="s">
        <v>16</v>
      </c>
      <c r="F456">
        <v>202</v>
      </c>
      <c r="G456">
        <v>1</v>
      </c>
      <c r="J456">
        <v>1.7</v>
      </c>
    </row>
    <row r="457" spans="1:16" x14ac:dyDescent="0.3">
      <c r="A457">
        <v>2018</v>
      </c>
      <c r="B457">
        <v>251</v>
      </c>
      <c r="C457">
        <v>1</v>
      </c>
      <c r="D457" s="1">
        <v>3527</v>
      </c>
      <c r="E457" s="1" t="s">
        <v>16</v>
      </c>
      <c r="F457">
        <v>93</v>
      </c>
      <c r="G457">
        <v>1</v>
      </c>
      <c r="J457">
        <v>8.8000000000000007</v>
      </c>
      <c r="K457">
        <v>51</v>
      </c>
      <c r="M457" s="1">
        <v>36</v>
      </c>
    </row>
    <row r="458" spans="1:16" x14ac:dyDescent="0.3">
      <c r="A458">
        <v>2018</v>
      </c>
      <c r="B458">
        <v>251</v>
      </c>
      <c r="C458">
        <v>2</v>
      </c>
      <c r="D458" s="1">
        <v>3528</v>
      </c>
      <c r="E458" s="1" t="s">
        <v>16</v>
      </c>
      <c r="F458">
        <v>202</v>
      </c>
      <c r="G458">
        <v>1</v>
      </c>
      <c r="J458">
        <v>6.5</v>
      </c>
      <c r="K458">
        <v>41</v>
      </c>
      <c r="M458" s="1">
        <v>22</v>
      </c>
    </row>
    <row r="459" spans="1:16" x14ac:dyDescent="0.3">
      <c r="A459">
        <v>2018</v>
      </c>
      <c r="B459">
        <v>251</v>
      </c>
      <c r="C459">
        <v>3</v>
      </c>
      <c r="D459" s="1">
        <v>3529</v>
      </c>
      <c r="E459" s="1" t="s">
        <v>16</v>
      </c>
      <c r="F459">
        <v>202</v>
      </c>
      <c r="G459">
        <v>1</v>
      </c>
      <c r="J459">
        <v>8.6999999999999993</v>
      </c>
      <c r="K459">
        <v>47</v>
      </c>
      <c r="M459" s="1">
        <v>33</v>
      </c>
    </row>
    <row r="460" spans="1:16" x14ac:dyDescent="0.3">
      <c r="A460">
        <v>2018</v>
      </c>
      <c r="B460">
        <v>251</v>
      </c>
      <c r="C460">
        <v>4</v>
      </c>
      <c r="D460" s="1">
        <v>3530</v>
      </c>
      <c r="E460" s="1" t="s">
        <v>16</v>
      </c>
      <c r="F460">
        <v>202</v>
      </c>
      <c r="G460">
        <v>1</v>
      </c>
      <c r="J460">
        <v>7.6</v>
      </c>
      <c r="K460">
        <v>49</v>
      </c>
      <c r="M460" s="1">
        <v>29</v>
      </c>
    </row>
    <row r="461" spans="1:16" x14ac:dyDescent="0.3">
      <c r="A461">
        <v>2018</v>
      </c>
      <c r="B461">
        <v>251</v>
      </c>
      <c r="C461">
        <v>5</v>
      </c>
      <c r="D461" s="1">
        <v>3531</v>
      </c>
      <c r="E461" s="1" t="s">
        <v>16</v>
      </c>
      <c r="F461">
        <v>202</v>
      </c>
      <c r="G461">
        <v>1</v>
      </c>
      <c r="J461">
        <v>6.2</v>
      </c>
      <c r="K461">
        <v>33</v>
      </c>
      <c r="M461" s="1">
        <v>16</v>
      </c>
    </row>
    <row r="462" spans="1:16" x14ac:dyDescent="0.3">
      <c r="A462">
        <v>2018</v>
      </c>
      <c r="B462">
        <v>251</v>
      </c>
      <c r="C462">
        <v>6</v>
      </c>
      <c r="D462" s="1">
        <v>3532</v>
      </c>
      <c r="E462" s="1" t="s">
        <v>16</v>
      </c>
      <c r="F462">
        <v>93</v>
      </c>
      <c r="G462">
        <v>1</v>
      </c>
      <c r="J462">
        <v>5.9</v>
      </c>
      <c r="K462">
        <v>38</v>
      </c>
      <c r="M462" s="1">
        <v>19</v>
      </c>
    </row>
    <row r="463" spans="1:16" x14ac:dyDescent="0.3">
      <c r="A463">
        <v>2018</v>
      </c>
      <c r="B463">
        <v>251</v>
      </c>
      <c r="C463">
        <v>7</v>
      </c>
      <c r="D463" s="1">
        <v>3533</v>
      </c>
      <c r="E463" s="1" t="s">
        <v>25</v>
      </c>
      <c r="F463">
        <v>17</v>
      </c>
      <c r="G463">
        <v>1</v>
      </c>
      <c r="J463">
        <v>5.4</v>
      </c>
      <c r="K463">
        <v>51</v>
      </c>
      <c r="M463" s="1">
        <v>27</v>
      </c>
    </row>
    <row r="464" spans="1:16" x14ac:dyDescent="0.3">
      <c r="A464">
        <v>2018</v>
      </c>
      <c r="B464">
        <v>251</v>
      </c>
      <c r="C464">
        <v>8</v>
      </c>
      <c r="D464" s="1">
        <v>3534</v>
      </c>
      <c r="E464" s="1" t="s">
        <v>16</v>
      </c>
      <c r="F464">
        <v>202</v>
      </c>
      <c r="G464">
        <v>1</v>
      </c>
      <c r="J464">
        <v>11.9</v>
      </c>
      <c r="K464">
        <v>66</v>
      </c>
      <c r="M464" s="1">
        <v>53</v>
      </c>
    </row>
    <row r="465" spans="1:16" x14ac:dyDescent="0.3">
      <c r="A465">
        <v>2018</v>
      </c>
      <c r="B465">
        <v>251</v>
      </c>
      <c r="C465">
        <v>9</v>
      </c>
      <c r="D465" s="1">
        <v>3535</v>
      </c>
      <c r="E465" s="1" t="s">
        <v>16</v>
      </c>
      <c r="F465">
        <v>93</v>
      </c>
      <c r="G465">
        <v>1</v>
      </c>
      <c r="J465">
        <v>11.3</v>
      </c>
      <c r="K465">
        <v>72</v>
      </c>
      <c r="M465" s="1">
        <v>53</v>
      </c>
    </row>
    <row r="466" spans="1:16" x14ac:dyDescent="0.3">
      <c r="A466">
        <v>2018</v>
      </c>
      <c r="B466">
        <v>251</v>
      </c>
      <c r="C466">
        <v>10</v>
      </c>
      <c r="D466" s="1">
        <v>3536</v>
      </c>
      <c r="E466" s="1" t="s">
        <v>16</v>
      </c>
      <c r="F466">
        <v>93</v>
      </c>
      <c r="G466">
        <v>1</v>
      </c>
      <c r="J466">
        <v>10.1</v>
      </c>
      <c r="K466">
        <v>70</v>
      </c>
      <c r="M466" s="1">
        <v>55</v>
      </c>
    </row>
    <row r="467" spans="1:16" x14ac:dyDescent="0.3">
      <c r="A467">
        <v>2018</v>
      </c>
      <c r="B467">
        <v>251</v>
      </c>
      <c r="C467">
        <v>11</v>
      </c>
      <c r="D467" s="1">
        <v>3537</v>
      </c>
      <c r="E467" s="1" t="s">
        <v>24</v>
      </c>
      <c r="F467">
        <v>93</v>
      </c>
      <c r="G467">
        <v>2</v>
      </c>
      <c r="I467">
        <v>2</v>
      </c>
      <c r="J467">
        <v>9.6999999999999993</v>
      </c>
      <c r="K467">
        <v>69</v>
      </c>
      <c r="M467" s="1">
        <v>54</v>
      </c>
    </row>
    <row r="468" spans="1:16" x14ac:dyDescent="0.3">
      <c r="A468">
        <v>2018</v>
      </c>
      <c r="B468">
        <v>251</v>
      </c>
      <c r="C468">
        <v>12</v>
      </c>
      <c r="D468" s="1">
        <v>3538</v>
      </c>
      <c r="E468" s="1" t="s">
        <v>25</v>
      </c>
      <c r="F468">
        <v>93</v>
      </c>
      <c r="G468">
        <v>1</v>
      </c>
      <c r="J468">
        <v>5.7</v>
      </c>
      <c r="K468">
        <v>50</v>
      </c>
      <c r="L468">
        <v>34</v>
      </c>
      <c r="M468" s="1">
        <v>26</v>
      </c>
      <c r="N468" s="1">
        <v>3</v>
      </c>
    </row>
    <row r="469" spans="1:16" x14ac:dyDescent="0.3">
      <c r="A469">
        <v>2018</v>
      </c>
      <c r="B469">
        <v>251</v>
      </c>
      <c r="C469">
        <v>13</v>
      </c>
      <c r="D469" s="1">
        <v>3539</v>
      </c>
      <c r="E469" s="1" t="s">
        <v>25</v>
      </c>
      <c r="F469">
        <v>202</v>
      </c>
      <c r="G469">
        <v>1</v>
      </c>
      <c r="J469">
        <v>8.5</v>
      </c>
      <c r="K469">
        <v>54</v>
      </c>
      <c r="L469">
        <v>30</v>
      </c>
      <c r="M469" s="1">
        <v>40</v>
      </c>
      <c r="N469" s="1">
        <v>5</v>
      </c>
    </row>
    <row r="470" spans="1:16" x14ac:dyDescent="0.3">
      <c r="A470">
        <v>2018</v>
      </c>
      <c r="B470">
        <v>251</v>
      </c>
      <c r="C470">
        <v>14</v>
      </c>
      <c r="D470" s="1">
        <v>3540</v>
      </c>
      <c r="E470" s="1" t="s">
        <v>16</v>
      </c>
      <c r="F470">
        <v>202</v>
      </c>
      <c r="G470">
        <v>1</v>
      </c>
      <c r="J470">
        <v>7.9</v>
      </c>
      <c r="K470">
        <v>66</v>
      </c>
      <c r="L470">
        <v>47</v>
      </c>
      <c r="M470" s="1">
        <v>47</v>
      </c>
      <c r="N470" s="1">
        <v>4</v>
      </c>
    </row>
    <row r="471" spans="1:16" x14ac:dyDescent="0.3">
      <c r="A471">
        <v>2018</v>
      </c>
      <c r="B471">
        <v>251</v>
      </c>
      <c r="C471">
        <v>15</v>
      </c>
      <c r="D471" s="1">
        <v>3541</v>
      </c>
      <c r="E471" s="1" t="s">
        <v>16</v>
      </c>
      <c r="F471">
        <v>93</v>
      </c>
      <c r="G471">
        <v>1</v>
      </c>
      <c r="J471">
        <v>12.7</v>
      </c>
      <c r="K471">
        <v>72</v>
      </c>
      <c r="M471" s="1">
        <v>56</v>
      </c>
    </row>
    <row r="472" spans="1:16" x14ac:dyDescent="0.3">
      <c r="A472">
        <v>2018</v>
      </c>
      <c r="B472">
        <v>251</v>
      </c>
      <c r="C472">
        <v>16</v>
      </c>
      <c r="D472" s="1">
        <v>3542</v>
      </c>
      <c r="E472" s="1" t="s">
        <v>34</v>
      </c>
      <c r="F472">
        <v>17</v>
      </c>
      <c r="G472">
        <v>2</v>
      </c>
      <c r="I472">
        <v>1</v>
      </c>
      <c r="J472">
        <v>8.1999999999999993</v>
      </c>
      <c r="K472">
        <v>67</v>
      </c>
      <c r="M472" s="1">
        <v>28</v>
      </c>
    </row>
    <row r="473" spans="1:16" x14ac:dyDescent="0.3">
      <c r="A473">
        <v>2018</v>
      </c>
      <c r="B473">
        <v>251</v>
      </c>
      <c r="C473">
        <v>17</v>
      </c>
      <c r="D473" s="1">
        <v>3543</v>
      </c>
      <c r="E473" s="1" t="s">
        <v>16</v>
      </c>
      <c r="F473">
        <v>17</v>
      </c>
      <c r="G473">
        <v>1</v>
      </c>
      <c r="J473">
        <v>10</v>
      </c>
      <c r="K473">
        <v>66</v>
      </c>
      <c r="M473" s="1">
        <v>47</v>
      </c>
    </row>
    <row r="474" spans="1:16" x14ac:dyDescent="0.3">
      <c r="A474">
        <v>2018</v>
      </c>
      <c r="B474">
        <v>251</v>
      </c>
      <c r="C474">
        <v>18</v>
      </c>
      <c r="D474" s="1">
        <v>3544</v>
      </c>
      <c r="E474" s="1" t="s">
        <v>16</v>
      </c>
      <c r="F474">
        <v>202</v>
      </c>
      <c r="G474">
        <v>1</v>
      </c>
      <c r="J474">
        <v>10</v>
      </c>
      <c r="K474">
        <v>61</v>
      </c>
      <c r="M474" s="1">
        <v>46</v>
      </c>
    </row>
    <row r="475" spans="1:16" x14ac:dyDescent="0.3">
      <c r="A475">
        <v>2018</v>
      </c>
      <c r="B475">
        <v>251</v>
      </c>
      <c r="C475">
        <v>19</v>
      </c>
      <c r="D475" s="1">
        <v>3545</v>
      </c>
      <c r="E475" s="1" t="s">
        <v>16</v>
      </c>
      <c r="F475">
        <v>202</v>
      </c>
      <c r="G475">
        <v>1</v>
      </c>
      <c r="J475">
        <v>7.8</v>
      </c>
      <c r="K475">
        <v>52</v>
      </c>
      <c r="M475" s="1">
        <v>27</v>
      </c>
    </row>
    <row r="476" spans="1:16" x14ac:dyDescent="0.3">
      <c r="A476">
        <v>2018</v>
      </c>
      <c r="B476">
        <v>251</v>
      </c>
      <c r="C476">
        <v>20</v>
      </c>
      <c r="D476" s="1">
        <v>3546</v>
      </c>
      <c r="E476" s="1" t="s">
        <v>16</v>
      </c>
      <c r="F476">
        <v>202</v>
      </c>
      <c r="G476">
        <v>1</v>
      </c>
      <c r="J476">
        <v>7.5</v>
      </c>
      <c r="K476">
        <v>45</v>
      </c>
      <c r="M476" s="1">
        <v>24</v>
      </c>
    </row>
    <row r="477" spans="1:16" x14ac:dyDescent="0.3">
      <c r="A477">
        <v>2018</v>
      </c>
      <c r="B477">
        <v>251</v>
      </c>
      <c r="C477">
        <v>21</v>
      </c>
      <c r="D477" s="1">
        <v>3547</v>
      </c>
      <c r="E477" s="1" t="s">
        <v>25</v>
      </c>
      <c r="F477">
        <v>202</v>
      </c>
      <c r="G477">
        <v>1</v>
      </c>
      <c r="J477">
        <v>17.100000000000001</v>
      </c>
      <c r="K477">
        <v>82</v>
      </c>
      <c r="M477" s="1">
        <v>67</v>
      </c>
    </row>
    <row r="478" spans="1:16" x14ac:dyDescent="0.3">
      <c r="A478">
        <v>2018</v>
      </c>
      <c r="B478">
        <v>251</v>
      </c>
      <c r="C478">
        <v>22</v>
      </c>
      <c r="D478" s="1">
        <v>3548</v>
      </c>
      <c r="E478" s="1" t="s">
        <v>34</v>
      </c>
      <c r="F478">
        <v>202</v>
      </c>
      <c r="G478">
        <v>2</v>
      </c>
      <c r="I478">
        <v>1</v>
      </c>
      <c r="J478">
        <v>9.1</v>
      </c>
      <c r="K478">
        <v>50</v>
      </c>
      <c r="M478" s="1">
        <v>30</v>
      </c>
    </row>
    <row r="479" spans="1:16" x14ac:dyDescent="0.3">
      <c r="A479">
        <v>2018</v>
      </c>
      <c r="B479">
        <v>251</v>
      </c>
      <c r="C479">
        <v>23</v>
      </c>
      <c r="D479" s="1">
        <v>3549</v>
      </c>
      <c r="E479" s="1" t="s">
        <v>19</v>
      </c>
      <c r="F479">
        <v>202</v>
      </c>
      <c r="G479">
        <v>1</v>
      </c>
      <c r="J479">
        <v>6.6</v>
      </c>
      <c r="K479">
        <v>49</v>
      </c>
      <c r="M479" s="1">
        <v>30</v>
      </c>
      <c r="P479" t="s">
        <v>70</v>
      </c>
    </row>
    <row r="480" spans="1:16" x14ac:dyDescent="0.3">
      <c r="A480">
        <v>2018</v>
      </c>
      <c r="B480">
        <v>251</v>
      </c>
      <c r="C480">
        <v>24</v>
      </c>
      <c r="D480" s="1">
        <v>3550</v>
      </c>
      <c r="E480" s="1" t="s">
        <v>16</v>
      </c>
      <c r="F480">
        <v>202</v>
      </c>
      <c r="G480">
        <v>1</v>
      </c>
      <c r="J480">
        <v>17.399999999999999</v>
      </c>
      <c r="K480">
        <v>70</v>
      </c>
      <c r="M480" s="1">
        <v>51</v>
      </c>
    </row>
    <row r="481" spans="1:16" x14ac:dyDescent="0.3">
      <c r="A481">
        <v>2018</v>
      </c>
      <c r="B481">
        <v>251</v>
      </c>
      <c r="C481">
        <v>25</v>
      </c>
      <c r="D481" s="1">
        <v>3551</v>
      </c>
      <c r="E481" s="1" t="s">
        <v>16</v>
      </c>
      <c r="F481">
        <v>93</v>
      </c>
      <c r="G481">
        <v>1</v>
      </c>
      <c r="J481">
        <v>7.2</v>
      </c>
      <c r="K481">
        <v>38</v>
      </c>
      <c r="M481" s="1">
        <v>18</v>
      </c>
    </row>
    <row r="482" spans="1:16" x14ac:dyDescent="0.3">
      <c r="A482">
        <v>2018</v>
      </c>
      <c r="B482">
        <v>251</v>
      </c>
      <c r="C482">
        <v>26</v>
      </c>
      <c r="D482" s="1">
        <v>3552</v>
      </c>
      <c r="E482" s="1" t="s">
        <v>16</v>
      </c>
      <c r="F482">
        <v>93</v>
      </c>
      <c r="G482">
        <v>1</v>
      </c>
      <c r="J482">
        <v>13</v>
      </c>
      <c r="K482">
        <v>52</v>
      </c>
      <c r="M482" s="1">
        <v>37</v>
      </c>
    </row>
    <row r="483" spans="1:16" x14ac:dyDescent="0.3">
      <c r="A483">
        <v>2018</v>
      </c>
      <c r="B483">
        <v>251</v>
      </c>
      <c r="C483">
        <v>27</v>
      </c>
      <c r="D483" s="1">
        <v>3553</v>
      </c>
      <c r="E483" s="1" t="s">
        <v>16</v>
      </c>
      <c r="F483">
        <v>202</v>
      </c>
      <c r="G483">
        <v>1</v>
      </c>
      <c r="J483">
        <v>3.5</v>
      </c>
    </row>
    <row r="484" spans="1:16" x14ac:dyDescent="0.3">
      <c r="A484">
        <v>2018</v>
      </c>
      <c r="B484">
        <v>251</v>
      </c>
      <c r="C484">
        <v>28</v>
      </c>
      <c r="D484" s="1">
        <v>3554</v>
      </c>
      <c r="E484" s="1" t="s">
        <v>16</v>
      </c>
      <c r="F484">
        <v>93</v>
      </c>
      <c r="G484">
        <v>1</v>
      </c>
      <c r="J484">
        <v>4.3</v>
      </c>
    </row>
    <row r="485" spans="1:16" x14ac:dyDescent="0.3">
      <c r="A485">
        <v>2018</v>
      </c>
      <c r="B485">
        <v>251</v>
      </c>
      <c r="C485">
        <v>29</v>
      </c>
      <c r="D485" s="1">
        <v>3555</v>
      </c>
      <c r="E485" s="1" t="s">
        <v>16</v>
      </c>
      <c r="F485">
        <v>93</v>
      </c>
      <c r="G485">
        <v>1</v>
      </c>
      <c r="J485">
        <v>2.2999999999999998</v>
      </c>
    </row>
    <row r="486" spans="1:16" x14ac:dyDescent="0.3">
      <c r="A486">
        <v>2018</v>
      </c>
      <c r="B486">
        <v>251</v>
      </c>
      <c r="C486">
        <v>30</v>
      </c>
      <c r="D486" s="1">
        <v>3556</v>
      </c>
      <c r="E486" s="1" t="s">
        <v>16</v>
      </c>
      <c r="F486">
        <v>202</v>
      </c>
      <c r="G486">
        <v>1</v>
      </c>
      <c r="J486">
        <v>1.5</v>
      </c>
    </row>
    <row r="487" spans="1:16" x14ac:dyDescent="0.3">
      <c r="A487">
        <v>2018</v>
      </c>
      <c r="B487">
        <v>251</v>
      </c>
      <c r="C487">
        <v>31</v>
      </c>
      <c r="D487" s="1">
        <v>3557</v>
      </c>
      <c r="E487" s="1" t="s">
        <v>16</v>
      </c>
      <c r="F487">
        <v>202</v>
      </c>
      <c r="G487">
        <v>1</v>
      </c>
      <c r="J487">
        <v>1</v>
      </c>
    </row>
    <row r="488" spans="1:16" x14ac:dyDescent="0.3">
      <c r="A488">
        <v>2018</v>
      </c>
      <c r="B488">
        <v>251</v>
      </c>
      <c r="C488">
        <v>32</v>
      </c>
      <c r="D488" s="1">
        <v>3558</v>
      </c>
      <c r="E488" s="1" t="s">
        <v>19</v>
      </c>
      <c r="F488">
        <v>93</v>
      </c>
      <c r="G488">
        <v>1</v>
      </c>
      <c r="J488">
        <v>1.9</v>
      </c>
    </row>
    <row r="489" spans="1:16" x14ac:dyDescent="0.3">
      <c r="A489">
        <v>2018</v>
      </c>
      <c r="B489">
        <v>251</v>
      </c>
      <c r="C489">
        <v>33</v>
      </c>
      <c r="D489" s="1">
        <v>3559</v>
      </c>
      <c r="E489" s="1" t="s">
        <v>16</v>
      </c>
      <c r="F489">
        <v>93</v>
      </c>
      <c r="G489">
        <v>1</v>
      </c>
      <c r="J489">
        <v>1.5</v>
      </c>
    </row>
    <row r="490" spans="1:16" x14ac:dyDescent="0.3">
      <c r="A490">
        <v>2018</v>
      </c>
      <c r="B490">
        <v>251</v>
      </c>
      <c r="C490">
        <v>34</v>
      </c>
      <c r="D490" s="1">
        <v>3560</v>
      </c>
      <c r="E490" s="1" t="s">
        <v>16</v>
      </c>
      <c r="F490">
        <v>93</v>
      </c>
      <c r="G490">
        <v>1</v>
      </c>
      <c r="J490">
        <v>1.6</v>
      </c>
    </row>
    <row r="491" spans="1:16" x14ac:dyDescent="0.3">
      <c r="A491">
        <v>2018</v>
      </c>
      <c r="B491">
        <v>276</v>
      </c>
      <c r="C491">
        <v>1</v>
      </c>
      <c r="D491" s="1">
        <v>4062</v>
      </c>
      <c r="E491" s="1" t="s">
        <v>16</v>
      </c>
      <c r="F491">
        <v>202</v>
      </c>
      <c r="G491">
        <v>1</v>
      </c>
      <c r="J491">
        <v>6.7</v>
      </c>
      <c r="K491">
        <v>29</v>
      </c>
      <c r="M491" s="1">
        <v>13</v>
      </c>
    </row>
    <row r="492" spans="1:16" x14ac:dyDescent="0.3">
      <c r="A492">
        <v>2018</v>
      </c>
      <c r="B492">
        <v>276</v>
      </c>
      <c r="C492">
        <v>2</v>
      </c>
      <c r="D492" s="1">
        <v>4063</v>
      </c>
      <c r="E492" s="1" t="s">
        <v>16</v>
      </c>
      <c r="F492">
        <v>202</v>
      </c>
      <c r="G492">
        <v>1</v>
      </c>
      <c r="J492">
        <v>16.5</v>
      </c>
      <c r="K492">
        <v>61</v>
      </c>
      <c r="M492" s="1">
        <v>52</v>
      </c>
    </row>
    <row r="493" spans="1:16" x14ac:dyDescent="0.3">
      <c r="A493">
        <v>2018</v>
      </c>
      <c r="B493">
        <v>276</v>
      </c>
      <c r="C493">
        <v>3</v>
      </c>
      <c r="D493" s="1">
        <v>4064</v>
      </c>
      <c r="E493" s="1" t="s">
        <v>16</v>
      </c>
      <c r="F493">
        <v>202</v>
      </c>
      <c r="G493">
        <v>1</v>
      </c>
      <c r="J493">
        <v>7.9</v>
      </c>
      <c r="K493">
        <v>31</v>
      </c>
      <c r="M493" s="1">
        <v>12</v>
      </c>
    </row>
    <row r="494" spans="1:16" x14ac:dyDescent="0.3">
      <c r="A494">
        <v>2018</v>
      </c>
      <c r="B494">
        <v>276</v>
      </c>
      <c r="C494">
        <v>4</v>
      </c>
      <c r="D494" s="1">
        <v>4065</v>
      </c>
      <c r="E494" s="1" t="s">
        <v>16</v>
      </c>
      <c r="F494">
        <v>202</v>
      </c>
      <c r="G494">
        <v>1</v>
      </c>
      <c r="J494">
        <v>17.2</v>
      </c>
      <c r="K494">
        <v>69</v>
      </c>
      <c r="M494" s="1">
        <v>58</v>
      </c>
      <c r="P494" t="s">
        <v>71</v>
      </c>
    </row>
    <row r="495" spans="1:16" x14ac:dyDescent="0.3">
      <c r="A495">
        <v>2018</v>
      </c>
      <c r="B495">
        <v>276</v>
      </c>
      <c r="C495">
        <v>5</v>
      </c>
      <c r="D495" s="1">
        <v>4066</v>
      </c>
      <c r="E495" s="1" t="s">
        <v>16</v>
      </c>
      <c r="F495">
        <v>202</v>
      </c>
      <c r="G495">
        <v>1</v>
      </c>
      <c r="J495">
        <v>9.1</v>
      </c>
      <c r="K495">
        <v>41</v>
      </c>
      <c r="M495" s="1">
        <v>29</v>
      </c>
    </row>
    <row r="496" spans="1:16" x14ac:dyDescent="0.3">
      <c r="A496">
        <v>2018</v>
      </c>
      <c r="B496">
        <v>276</v>
      </c>
      <c r="C496">
        <v>6</v>
      </c>
      <c r="D496" s="1">
        <v>4067</v>
      </c>
      <c r="E496" s="1" t="s">
        <v>16</v>
      </c>
      <c r="F496">
        <v>202</v>
      </c>
      <c r="G496">
        <v>1</v>
      </c>
      <c r="J496">
        <v>6.2</v>
      </c>
      <c r="K496">
        <v>37</v>
      </c>
      <c r="M496" s="1">
        <v>22</v>
      </c>
    </row>
    <row r="497" spans="1:16" x14ac:dyDescent="0.3">
      <c r="A497">
        <v>2018</v>
      </c>
      <c r="B497">
        <v>276</v>
      </c>
      <c r="C497">
        <v>7</v>
      </c>
      <c r="D497" s="1">
        <v>4068</v>
      </c>
      <c r="E497" s="1" t="s">
        <v>16</v>
      </c>
      <c r="F497">
        <v>202</v>
      </c>
      <c r="G497">
        <v>1</v>
      </c>
      <c r="J497">
        <v>6.2</v>
      </c>
      <c r="K497">
        <v>43</v>
      </c>
      <c r="M497" s="1">
        <v>25</v>
      </c>
      <c r="P497" t="s">
        <v>72</v>
      </c>
    </row>
    <row r="498" spans="1:16" x14ac:dyDescent="0.3">
      <c r="A498">
        <v>2018</v>
      </c>
      <c r="B498">
        <v>276</v>
      </c>
      <c r="C498">
        <v>8</v>
      </c>
      <c r="D498" s="1">
        <v>4069</v>
      </c>
      <c r="E498" s="1" t="s">
        <v>16</v>
      </c>
      <c r="F498">
        <v>202</v>
      </c>
      <c r="G498">
        <v>1</v>
      </c>
      <c r="J498">
        <v>6.1</v>
      </c>
      <c r="K498">
        <v>40</v>
      </c>
      <c r="M498" s="1">
        <v>28</v>
      </c>
      <c r="P498" t="s">
        <v>73</v>
      </c>
    </row>
    <row r="499" spans="1:16" x14ac:dyDescent="0.3">
      <c r="A499">
        <v>2018</v>
      </c>
      <c r="B499">
        <v>276</v>
      </c>
      <c r="C499">
        <v>9</v>
      </c>
      <c r="D499" s="1">
        <v>4070</v>
      </c>
      <c r="E499" s="1" t="s">
        <v>16</v>
      </c>
      <c r="F499">
        <v>202</v>
      </c>
      <c r="G499">
        <v>1</v>
      </c>
      <c r="J499">
        <v>9.3000000000000007</v>
      </c>
      <c r="K499">
        <v>46</v>
      </c>
      <c r="M499" s="1">
        <v>32</v>
      </c>
    </row>
    <row r="500" spans="1:16" x14ac:dyDescent="0.3">
      <c r="A500">
        <v>2018</v>
      </c>
      <c r="B500">
        <v>276</v>
      </c>
      <c r="C500">
        <v>10</v>
      </c>
      <c r="D500" s="1">
        <v>4071</v>
      </c>
      <c r="E500" s="1" t="s">
        <v>16</v>
      </c>
      <c r="F500">
        <v>202</v>
      </c>
      <c r="G500">
        <v>1</v>
      </c>
      <c r="J500">
        <v>9.6</v>
      </c>
      <c r="K500">
        <v>48</v>
      </c>
      <c r="M500" s="1">
        <v>37</v>
      </c>
    </row>
    <row r="501" spans="1:16" x14ac:dyDescent="0.3">
      <c r="A501">
        <v>2018</v>
      </c>
      <c r="B501">
        <v>276</v>
      </c>
      <c r="C501">
        <v>11</v>
      </c>
      <c r="D501" s="1">
        <v>4072</v>
      </c>
      <c r="E501" s="1" t="s">
        <v>16</v>
      </c>
      <c r="F501">
        <v>202</v>
      </c>
      <c r="G501">
        <v>1</v>
      </c>
      <c r="J501">
        <v>9.1</v>
      </c>
      <c r="K501">
        <v>55</v>
      </c>
      <c r="M501" s="1">
        <v>40</v>
      </c>
    </row>
    <row r="502" spans="1:16" x14ac:dyDescent="0.3">
      <c r="A502">
        <v>2018</v>
      </c>
      <c r="B502">
        <v>276</v>
      </c>
      <c r="C502">
        <v>12</v>
      </c>
      <c r="D502" s="1">
        <v>4073</v>
      </c>
      <c r="E502" s="1" t="s">
        <v>16</v>
      </c>
      <c r="F502">
        <v>202</v>
      </c>
      <c r="G502">
        <v>1</v>
      </c>
      <c r="J502">
        <v>8.3000000000000007</v>
      </c>
      <c r="K502">
        <v>41</v>
      </c>
      <c r="M502" s="1">
        <v>26</v>
      </c>
    </row>
    <row r="503" spans="1:16" x14ac:dyDescent="0.3">
      <c r="A503">
        <v>2018</v>
      </c>
      <c r="B503">
        <v>276</v>
      </c>
      <c r="C503">
        <v>13</v>
      </c>
      <c r="D503" s="1">
        <v>4074</v>
      </c>
      <c r="E503" s="1" t="s">
        <v>16</v>
      </c>
      <c r="F503">
        <v>202</v>
      </c>
      <c r="G503">
        <v>1</v>
      </c>
      <c r="J503">
        <v>6</v>
      </c>
      <c r="K503">
        <v>36</v>
      </c>
      <c r="M503" s="1">
        <v>25</v>
      </c>
      <c r="P503" t="s">
        <v>74</v>
      </c>
    </row>
    <row r="504" spans="1:16" x14ac:dyDescent="0.3">
      <c r="A504">
        <v>2018</v>
      </c>
      <c r="B504">
        <v>276</v>
      </c>
      <c r="C504">
        <v>14</v>
      </c>
      <c r="D504" s="1">
        <v>4075</v>
      </c>
      <c r="E504" s="1" t="s">
        <v>16</v>
      </c>
      <c r="F504">
        <v>202</v>
      </c>
      <c r="G504">
        <v>1</v>
      </c>
      <c r="J504">
        <v>5.3</v>
      </c>
      <c r="K504">
        <v>34</v>
      </c>
      <c r="M504" s="1">
        <v>16</v>
      </c>
    </row>
    <row r="505" spans="1:16" x14ac:dyDescent="0.3">
      <c r="A505">
        <v>2018</v>
      </c>
      <c r="B505">
        <v>276</v>
      </c>
      <c r="C505">
        <v>15</v>
      </c>
      <c r="D505" s="1">
        <v>4076</v>
      </c>
      <c r="E505" s="1" t="s">
        <v>16</v>
      </c>
      <c r="F505">
        <v>73</v>
      </c>
      <c r="G505">
        <v>1</v>
      </c>
      <c r="J505">
        <v>8</v>
      </c>
      <c r="K505">
        <v>41</v>
      </c>
      <c r="L505">
        <v>25</v>
      </c>
      <c r="M505" s="1">
        <v>25</v>
      </c>
      <c r="N505" s="1">
        <v>5</v>
      </c>
      <c r="P505" t="s">
        <v>45</v>
      </c>
    </row>
    <row r="506" spans="1:16" x14ac:dyDescent="0.3">
      <c r="A506">
        <v>2018</v>
      </c>
      <c r="B506">
        <v>276</v>
      </c>
      <c r="C506">
        <v>16</v>
      </c>
      <c r="D506" s="1">
        <v>4077</v>
      </c>
      <c r="E506" s="1" t="s">
        <v>16</v>
      </c>
      <c r="F506">
        <v>202</v>
      </c>
      <c r="G506">
        <v>1</v>
      </c>
      <c r="J506">
        <v>5.9</v>
      </c>
      <c r="K506">
        <v>41</v>
      </c>
      <c r="M506" s="1">
        <v>19</v>
      </c>
      <c r="P506" t="s">
        <v>75</v>
      </c>
    </row>
    <row r="507" spans="1:16" x14ac:dyDescent="0.3">
      <c r="A507">
        <v>2018</v>
      </c>
      <c r="B507">
        <v>276</v>
      </c>
      <c r="C507">
        <v>17</v>
      </c>
      <c r="D507" s="1">
        <v>4078</v>
      </c>
      <c r="E507" s="1" t="s">
        <v>16</v>
      </c>
      <c r="F507">
        <v>202</v>
      </c>
      <c r="G507">
        <v>1</v>
      </c>
      <c r="J507">
        <v>8.6</v>
      </c>
      <c r="K507">
        <v>50</v>
      </c>
      <c r="M507" s="1">
        <v>36</v>
      </c>
      <c r="P507" t="s">
        <v>76</v>
      </c>
    </row>
    <row r="508" spans="1:16" x14ac:dyDescent="0.3">
      <c r="A508">
        <v>2018</v>
      </c>
      <c r="B508">
        <v>276</v>
      </c>
      <c r="C508">
        <v>18</v>
      </c>
      <c r="D508" s="1">
        <v>4079</v>
      </c>
      <c r="E508" s="1" t="s">
        <v>16</v>
      </c>
      <c r="F508">
        <v>202</v>
      </c>
      <c r="G508">
        <v>1</v>
      </c>
      <c r="J508">
        <v>7.6</v>
      </c>
      <c r="K508">
        <v>52</v>
      </c>
      <c r="M508" s="1">
        <v>34</v>
      </c>
    </row>
    <row r="509" spans="1:16" x14ac:dyDescent="0.3">
      <c r="A509">
        <v>2018</v>
      </c>
      <c r="B509">
        <v>276</v>
      </c>
      <c r="C509">
        <v>19</v>
      </c>
      <c r="D509" s="1">
        <v>4080</v>
      </c>
      <c r="E509" s="1" t="s">
        <v>16</v>
      </c>
      <c r="F509">
        <v>202</v>
      </c>
      <c r="G509">
        <v>1</v>
      </c>
      <c r="J509">
        <v>7</v>
      </c>
      <c r="K509">
        <v>31</v>
      </c>
      <c r="M509" s="1">
        <v>18</v>
      </c>
    </row>
    <row r="510" spans="1:16" x14ac:dyDescent="0.3">
      <c r="A510">
        <v>2018</v>
      </c>
      <c r="B510">
        <v>276</v>
      </c>
      <c r="C510">
        <v>20</v>
      </c>
      <c r="D510" s="1">
        <v>4081</v>
      </c>
      <c r="E510" s="1" t="s">
        <v>16</v>
      </c>
      <c r="F510">
        <v>202</v>
      </c>
      <c r="G510">
        <v>1</v>
      </c>
      <c r="J510">
        <v>9.5</v>
      </c>
      <c r="K510">
        <v>46</v>
      </c>
      <c r="M510" s="1">
        <v>27</v>
      </c>
    </row>
    <row r="511" spans="1:16" x14ac:dyDescent="0.3">
      <c r="A511">
        <v>2018</v>
      </c>
      <c r="B511">
        <v>276</v>
      </c>
      <c r="C511">
        <v>21</v>
      </c>
      <c r="D511" s="1">
        <v>4082</v>
      </c>
      <c r="E511" s="1" t="s">
        <v>16</v>
      </c>
      <c r="F511">
        <v>202</v>
      </c>
      <c r="G511">
        <v>1</v>
      </c>
      <c r="J511">
        <v>5.4</v>
      </c>
      <c r="K511">
        <v>26</v>
      </c>
      <c r="M511" s="1">
        <v>13</v>
      </c>
    </row>
    <row r="512" spans="1:16" x14ac:dyDescent="0.3">
      <c r="A512">
        <v>2018</v>
      </c>
      <c r="B512">
        <v>276</v>
      </c>
      <c r="C512">
        <v>22</v>
      </c>
      <c r="D512" s="1">
        <v>4083</v>
      </c>
      <c r="E512" s="1" t="s">
        <v>16</v>
      </c>
      <c r="F512">
        <v>73</v>
      </c>
      <c r="G512">
        <v>1</v>
      </c>
      <c r="J512">
        <v>15.8</v>
      </c>
      <c r="K512">
        <v>73</v>
      </c>
      <c r="M512" s="1">
        <v>60</v>
      </c>
    </row>
    <row r="513" spans="1:16" x14ac:dyDescent="0.3">
      <c r="A513">
        <v>2018</v>
      </c>
      <c r="B513">
        <v>276</v>
      </c>
      <c r="C513">
        <v>23</v>
      </c>
      <c r="D513" s="1">
        <v>4084</v>
      </c>
      <c r="E513" s="1" t="s">
        <v>16</v>
      </c>
      <c r="F513">
        <v>202</v>
      </c>
      <c r="G513">
        <v>1</v>
      </c>
      <c r="J513">
        <v>7.7</v>
      </c>
      <c r="K513">
        <v>35</v>
      </c>
      <c r="M513" s="1">
        <v>22</v>
      </c>
    </row>
    <row r="514" spans="1:16" x14ac:dyDescent="0.3">
      <c r="A514">
        <v>2018</v>
      </c>
      <c r="B514">
        <v>276</v>
      </c>
      <c r="C514">
        <v>24</v>
      </c>
      <c r="D514" s="1">
        <v>4085</v>
      </c>
      <c r="E514" s="1" t="s">
        <v>16</v>
      </c>
      <c r="F514">
        <v>202</v>
      </c>
      <c r="G514">
        <v>1</v>
      </c>
      <c r="J514">
        <v>7.7</v>
      </c>
      <c r="K514">
        <v>36</v>
      </c>
      <c r="M514" s="1">
        <v>22</v>
      </c>
      <c r="P514" t="s">
        <v>77</v>
      </c>
    </row>
    <row r="515" spans="1:16" x14ac:dyDescent="0.3">
      <c r="A515">
        <v>2018</v>
      </c>
      <c r="B515">
        <v>276</v>
      </c>
      <c r="C515">
        <v>25</v>
      </c>
      <c r="D515" s="1">
        <v>4086</v>
      </c>
      <c r="E515" s="1" t="s">
        <v>16</v>
      </c>
      <c r="F515">
        <v>202</v>
      </c>
      <c r="G515">
        <v>1</v>
      </c>
      <c r="J515">
        <v>5.3</v>
      </c>
      <c r="K515">
        <v>28</v>
      </c>
      <c r="M515" s="1">
        <v>13</v>
      </c>
    </row>
    <row r="516" spans="1:16" x14ac:dyDescent="0.3">
      <c r="A516">
        <v>2018</v>
      </c>
      <c r="B516">
        <v>276</v>
      </c>
      <c r="C516">
        <v>26</v>
      </c>
      <c r="D516" s="1">
        <v>4087</v>
      </c>
      <c r="E516" s="1" t="s">
        <v>16</v>
      </c>
      <c r="F516">
        <v>202</v>
      </c>
      <c r="G516">
        <v>1</v>
      </c>
      <c r="J516">
        <v>7.8</v>
      </c>
      <c r="K516">
        <v>42</v>
      </c>
      <c r="M516" s="1">
        <v>28</v>
      </c>
    </row>
    <row r="517" spans="1:16" x14ac:dyDescent="0.3">
      <c r="A517">
        <v>2018</v>
      </c>
      <c r="B517">
        <v>276</v>
      </c>
      <c r="C517">
        <v>27</v>
      </c>
      <c r="D517" s="1">
        <v>4088</v>
      </c>
      <c r="E517" s="1" t="s">
        <v>19</v>
      </c>
      <c r="F517">
        <v>202</v>
      </c>
      <c r="G517">
        <v>1</v>
      </c>
      <c r="J517">
        <v>3.9</v>
      </c>
    </row>
    <row r="518" spans="1:16" x14ac:dyDescent="0.3">
      <c r="A518">
        <v>2018</v>
      </c>
      <c r="B518">
        <v>280</v>
      </c>
      <c r="C518">
        <v>1</v>
      </c>
      <c r="D518" s="1">
        <v>4111</v>
      </c>
      <c r="E518" s="1" t="s">
        <v>16</v>
      </c>
      <c r="F518">
        <v>108</v>
      </c>
      <c r="G518">
        <v>1</v>
      </c>
      <c r="J518">
        <v>7</v>
      </c>
      <c r="K518">
        <v>60</v>
      </c>
      <c r="M518" s="1">
        <v>43</v>
      </c>
    </row>
    <row r="519" spans="1:16" x14ac:dyDescent="0.3">
      <c r="A519">
        <v>2018</v>
      </c>
      <c r="B519">
        <v>280</v>
      </c>
      <c r="C519">
        <v>2</v>
      </c>
      <c r="D519" s="1">
        <v>4112</v>
      </c>
      <c r="E519" s="1" t="s">
        <v>16</v>
      </c>
      <c r="F519">
        <v>108</v>
      </c>
      <c r="G519">
        <v>1</v>
      </c>
      <c r="J519">
        <v>5.8</v>
      </c>
      <c r="K519">
        <v>60</v>
      </c>
      <c r="M519" s="1">
        <v>32</v>
      </c>
    </row>
    <row r="520" spans="1:16" x14ac:dyDescent="0.3">
      <c r="A520">
        <v>2018</v>
      </c>
      <c r="B520">
        <v>280</v>
      </c>
      <c r="C520">
        <v>3</v>
      </c>
      <c r="D520" s="1">
        <v>4113</v>
      </c>
      <c r="E520" s="1" t="s">
        <v>16</v>
      </c>
      <c r="F520">
        <v>108</v>
      </c>
      <c r="G520">
        <v>1</v>
      </c>
      <c r="J520">
        <v>8.4</v>
      </c>
      <c r="K520">
        <v>57</v>
      </c>
      <c r="M520" s="1">
        <v>46</v>
      </c>
    </row>
    <row r="521" spans="1:16" x14ac:dyDescent="0.3">
      <c r="A521">
        <v>2018</v>
      </c>
      <c r="B521">
        <v>280</v>
      </c>
      <c r="C521">
        <v>4</v>
      </c>
      <c r="D521" s="1">
        <v>4114</v>
      </c>
      <c r="E521" s="1" t="s">
        <v>16</v>
      </c>
      <c r="F521">
        <v>108</v>
      </c>
      <c r="G521">
        <v>1</v>
      </c>
      <c r="J521">
        <v>7</v>
      </c>
      <c r="K521">
        <v>59</v>
      </c>
      <c r="M521" s="1">
        <v>43</v>
      </c>
    </row>
    <row r="522" spans="1:16" x14ac:dyDescent="0.3">
      <c r="A522">
        <v>2018</v>
      </c>
      <c r="B522">
        <v>280</v>
      </c>
      <c r="C522">
        <v>5</v>
      </c>
      <c r="D522" s="1">
        <v>4115</v>
      </c>
      <c r="E522" s="1" t="s">
        <v>24</v>
      </c>
      <c r="F522">
        <v>108</v>
      </c>
      <c r="G522">
        <v>2</v>
      </c>
      <c r="I522">
        <v>1</v>
      </c>
      <c r="J522">
        <v>8.4</v>
      </c>
      <c r="K522">
        <v>65</v>
      </c>
      <c r="M522" s="1">
        <v>51</v>
      </c>
    </row>
    <row r="523" spans="1:16" x14ac:dyDescent="0.3">
      <c r="A523">
        <v>2018</v>
      </c>
      <c r="B523">
        <v>280</v>
      </c>
      <c r="C523">
        <v>6</v>
      </c>
      <c r="D523" s="1">
        <v>4116</v>
      </c>
      <c r="E523" s="1" t="s">
        <v>24</v>
      </c>
      <c r="F523">
        <v>108</v>
      </c>
      <c r="G523">
        <v>2</v>
      </c>
      <c r="I523">
        <v>1</v>
      </c>
      <c r="J523">
        <v>6</v>
      </c>
      <c r="K523">
        <v>61</v>
      </c>
      <c r="M523" s="1">
        <v>44</v>
      </c>
    </row>
    <row r="524" spans="1:16" x14ac:dyDescent="0.3">
      <c r="A524">
        <v>2018</v>
      </c>
      <c r="B524">
        <v>280</v>
      </c>
      <c r="C524">
        <v>7</v>
      </c>
      <c r="D524" s="1">
        <v>4117</v>
      </c>
      <c r="E524" s="1" t="s">
        <v>16</v>
      </c>
      <c r="F524">
        <v>108</v>
      </c>
      <c r="G524">
        <v>1</v>
      </c>
      <c r="J524">
        <v>5.8</v>
      </c>
      <c r="K524">
        <v>60</v>
      </c>
      <c r="M524" s="1">
        <v>43</v>
      </c>
    </row>
    <row r="525" spans="1:16" x14ac:dyDescent="0.3">
      <c r="A525">
        <v>2018</v>
      </c>
      <c r="B525">
        <v>280</v>
      </c>
      <c r="C525">
        <v>8</v>
      </c>
      <c r="D525" s="1">
        <v>4118</v>
      </c>
      <c r="E525" s="1" t="s">
        <v>16</v>
      </c>
      <c r="F525">
        <v>108</v>
      </c>
      <c r="G525">
        <v>1</v>
      </c>
      <c r="J525">
        <v>5.7</v>
      </c>
      <c r="K525">
        <v>53</v>
      </c>
      <c r="M525" s="1">
        <v>27</v>
      </c>
    </row>
    <row r="526" spans="1:16" x14ac:dyDescent="0.3">
      <c r="A526">
        <v>2018</v>
      </c>
      <c r="B526">
        <v>280</v>
      </c>
      <c r="C526">
        <v>9</v>
      </c>
      <c r="D526" s="1">
        <v>4119</v>
      </c>
      <c r="E526" s="1" t="s">
        <v>24</v>
      </c>
      <c r="F526">
        <v>108</v>
      </c>
      <c r="G526">
        <v>2</v>
      </c>
      <c r="I526">
        <v>1</v>
      </c>
      <c r="J526">
        <v>6.8</v>
      </c>
      <c r="K526">
        <v>59</v>
      </c>
      <c r="M526" s="1">
        <v>44</v>
      </c>
    </row>
    <row r="527" spans="1:16" x14ac:dyDescent="0.3">
      <c r="A527">
        <v>2018</v>
      </c>
      <c r="B527">
        <v>280</v>
      </c>
      <c r="C527">
        <v>10</v>
      </c>
      <c r="D527" s="1">
        <v>4120</v>
      </c>
      <c r="E527" s="1" t="s">
        <v>16</v>
      </c>
      <c r="F527">
        <v>108</v>
      </c>
      <c r="G527">
        <v>1</v>
      </c>
      <c r="J527">
        <v>5.2</v>
      </c>
      <c r="K527">
        <v>49</v>
      </c>
      <c r="M527" s="1">
        <v>24</v>
      </c>
    </row>
    <row r="528" spans="1:16" x14ac:dyDescent="0.3">
      <c r="A528">
        <v>2018</v>
      </c>
      <c r="B528">
        <v>280</v>
      </c>
      <c r="C528">
        <v>11</v>
      </c>
      <c r="D528" s="1">
        <v>4121</v>
      </c>
      <c r="E528" s="1" t="s">
        <v>16</v>
      </c>
      <c r="F528">
        <v>108</v>
      </c>
      <c r="G528">
        <v>1</v>
      </c>
      <c r="J528">
        <v>6.7</v>
      </c>
      <c r="K528">
        <v>53</v>
      </c>
      <c r="M528" s="1">
        <v>34</v>
      </c>
    </row>
    <row r="529" spans="1:16" x14ac:dyDescent="0.3">
      <c r="A529">
        <v>2018</v>
      </c>
      <c r="B529">
        <v>280</v>
      </c>
      <c r="C529">
        <v>12</v>
      </c>
      <c r="D529" s="1">
        <v>4122</v>
      </c>
      <c r="E529" s="1" t="s">
        <v>16</v>
      </c>
      <c r="F529">
        <v>108</v>
      </c>
      <c r="G529">
        <v>1</v>
      </c>
      <c r="J529">
        <v>5.3</v>
      </c>
      <c r="K529">
        <v>53</v>
      </c>
      <c r="M529" s="1">
        <v>27</v>
      </c>
    </row>
    <row r="530" spans="1:16" x14ac:dyDescent="0.3">
      <c r="A530">
        <v>2018</v>
      </c>
      <c r="B530">
        <v>280</v>
      </c>
      <c r="C530">
        <v>13</v>
      </c>
      <c r="D530" s="1">
        <v>4123</v>
      </c>
      <c r="E530" s="1" t="s">
        <v>16</v>
      </c>
      <c r="F530">
        <v>108</v>
      </c>
      <c r="G530">
        <v>1</v>
      </c>
      <c r="J530">
        <v>5.4</v>
      </c>
      <c r="K530">
        <v>52</v>
      </c>
      <c r="M530" s="1">
        <v>29</v>
      </c>
    </row>
    <row r="531" spans="1:16" x14ac:dyDescent="0.3">
      <c r="A531">
        <v>2018</v>
      </c>
      <c r="B531">
        <v>280</v>
      </c>
      <c r="C531">
        <v>14</v>
      </c>
      <c r="D531" s="1">
        <v>4124</v>
      </c>
      <c r="E531" s="1" t="s">
        <v>16</v>
      </c>
      <c r="F531">
        <v>108</v>
      </c>
      <c r="G531">
        <v>1</v>
      </c>
      <c r="J531">
        <v>6.1</v>
      </c>
      <c r="K531">
        <v>52</v>
      </c>
      <c r="M531" s="1">
        <v>38</v>
      </c>
    </row>
    <row r="532" spans="1:16" x14ac:dyDescent="0.3">
      <c r="A532">
        <v>2018</v>
      </c>
      <c r="B532">
        <v>280</v>
      </c>
      <c r="C532">
        <v>15</v>
      </c>
      <c r="D532" s="1">
        <v>4125</v>
      </c>
      <c r="E532" s="1" t="s">
        <v>16</v>
      </c>
      <c r="F532">
        <v>108</v>
      </c>
      <c r="G532">
        <v>1</v>
      </c>
      <c r="J532">
        <v>6.3</v>
      </c>
      <c r="K532">
        <v>52</v>
      </c>
      <c r="M532" s="1">
        <v>38</v>
      </c>
    </row>
    <row r="533" spans="1:16" x14ac:dyDescent="0.3">
      <c r="A533">
        <v>2018</v>
      </c>
      <c r="B533">
        <v>280</v>
      </c>
      <c r="C533">
        <v>16</v>
      </c>
      <c r="D533" s="1">
        <v>4126</v>
      </c>
      <c r="E533" s="1" t="s">
        <v>16</v>
      </c>
      <c r="F533">
        <v>108</v>
      </c>
      <c r="G533">
        <v>1</v>
      </c>
      <c r="J533">
        <v>6.3</v>
      </c>
      <c r="K533">
        <v>54</v>
      </c>
      <c r="M533" s="1">
        <v>37</v>
      </c>
    </row>
    <row r="534" spans="1:16" x14ac:dyDescent="0.3">
      <c r="A534">
        <v>2018</v>
      </c>
      <c r="B534">
        <v>280</v>
      </c>
      <c r="C534">
        <v>17</v>
      </c>
      <c r="D534" s="1">
        <v>4127</v>
      </c>
      <c r="E534" s="1" t="s">
        <v>16</v>
      </c>
      <c r="F534">
        <v>108</v>
      </c>
      <c r="G534">
        <v>1</v>
      </c>
      <c r="J534">
        <v>5.9</v>
      </c>
      <c r="K534">
        <v>55</v>
      </c>
      <c r="M534" s="1">
        <v>30</v>
      </c>
    </row>
    <row r="535" spans="1:16" x14ac:dyDescent="0.3">
      <c r="A535">
        <v>2018</v>
      </c>
      <c r="B535">
        <v>280</v>
      </c>
      <c r="C535">
        <v>18</v>
      </c>
      <c r="D535" s="1">
        <v>4128</v>
      </c>
      <c r="E535" s="1" t="s">
        <v>16</v>
      </c>
      <c r="F535">
        <v>108</v>
      </c>
      <c r="G535">
        <v>1</v>
      </c>
      <c r="J535">
        <v>5</v>
      </c>
      <c r="K535">
        <v>52</v>
      </c>
      <c r="M535" s="1">
        <v>23</v>
      </c>
      <c r="P535" t="s">
        <v>78</v>
      </c>
    </row>
    <row r="536" spans="1:16" x14ac:dyDescent="0.3">
      <c r="A536">
        <v>2018</v>
      </c>
      <c r="B536">
        <v>280</v>
      </c>
      <c r="C536">
        <v>19</v>
      </c>
      <c r="D536" s="1">
        <v>4129</v>
      </c>
      <c r="E536" s="1" t="s">
        <v>16</v>
      </c>
      <c r="F536">
        <v>108</v>
      </c>
      <c r="G536">
        <v>1</v>
      </c>
      <c r="J536">
        <v>5.4</v>
      </c>
      <c r="K536">
        <v>46</v>
      </c>
      <c r="M536" s="1">
        <v>27</v>
      </c>
      <c r="P536" t="s">
        <v>79</v>
      </c>
    </row>
    <row r="537" spans="1:16" x14ac:dyDescent="0.3">
      <c r="A537">
        <v>2018</v>
      </c>
      <c r="B537">
        <v>280</v>
      </c>
      <c r="C537">
        <v>20</v>
      </c>
      <c r="D537" s="1">
        <v>4130</v>
      </c>
      <c r="E537" s="1" t="s">
        <v>16</v>
      </c>
      <c r="F537">
        <v>108</v>
      </c>
      <c r="G537">
        <v>1</v>
      </c>
      <c r="J537">
        <v>5.5</v>
      </c>
      <c r="K537">
        <v>50</v>
      </c>
      <c r="M537" s="1">
        <v>29</v>
      </c>
      <c r="P537" t="s">
        <v>80</v>
      </c>
    </row>
    <row r="538" spans="1:16" x14ac:dyDescent="0.3">
      <c r="A538">
        <v>2018</v>
      </c>
      <c r="B538">
        <v>280</v>
      </c>
      <c r="C538">
        <v>21</v>
      </c>
      <c r="D538" s="1">
        <v>4131</v>
      </c>
      <c r="E538" s="1" t="s">
        <v>16</v>
      </c>
      <c r="F538">
        <v>108</v>
      </c>
      <c r="G538">
        <v>1</v>
      </c>
      <c r="J538">
        <v>5.9</v>
      </c>
      <c r="K538">
        <v>54</v>
      </c>
      <c r="M538" s="1">
        <v>28</v>
      </c>
    </row>
    <row r="539" spans="1:16" x14ac:dyDescent="0.3">
      <c r="A539">
        <v>2018</v>
      </c>
      <c r="B539">
        <v>280</v>
      </c>
      <c r="C539">
        <v>22</v>
      </c>
      <c r="D539" s="1">
        <v>4132</v>
      </c>
      <c r="E539" s="1" t="s">
        <v>16</v>
      </c>
      <c r="F539">
        <v>108</v>
      </c>
      <c r="G539">
        <v>1</v>
      </c>
      <c r="J539">
        <v>6.5</v>
      </c>
      <c r="K539">
        <v>55</v>
      </c>
      <c r="M539" s="1">
        <v>39</v>
      </c>
    </row>
    <row r="540" spans="1:16" x14ac:dyDescent="0.3">
      <c r="A540">
        <v>2018</v>
      </c>
      <c r="B540">
        <v>280</v>
      </c>
      <c r="C540">
        <v>23</v>
      </c>
      <c r="D540" s="1">
        <v>4133</v>
      </c>
      <c r="E540" s="1" t="s">
        <v>16</v>
      </c>
      <c r="F540">
        <v>108</v>
      </c>
      <c r="G540">
        <v>1</v>
      </c>
      <c r="J540">
        <v>5.6</v>
      </c>
      <c r="K540">
        <v>53</v>
      </c>
      <c r="M540" s="1">
        <v>35</v>
      </c>
    </row>
    <row r="541" spans="1:16" x14ac:dyDescent="0.3">
      <c r="A541">
        <v>2018</v>
      </c>
      <c r="B541">
        <v>280</v>
      </c>
      <c r="C541">
        <v>24</v>
      </c>
      <c r="D541" s="1">
        <v>4134</v>
      </c>
      <c r="E541" s="1" t="s">
        <v>34</v>
      </c>
      <c r="F541">
        <v>108</v>
      </c>
      <c r="G541">
        <v>2</v>
      </c>
      <c r="I541">
        <v>1</v>
      </c>
      <c r="J541">
        <v>5.0999999999999996</v>
      </c>
      <c r="K541">
        <v>49</v>
      </c>
      <c r="L541">
        <v>27</v>
      </c>
      <c r="M541" s="1">
        <v>18</v>
      </c>
      <c r="N541" s="1">
        <v>3</v>
      </c>
    </row>
    <row r="542" spans="1:16" x14ac:dyDescent="0.3">
      <c r="A542">
        <v>2018</v>
      </c>
      <c r="B542">
        <v>280</v>
      </c>
      <c r="C542">
        <v>25</v>
      </c>
      <c r="D542" s="1">
        <v>4135</v>
      </c>
      <c r="E542" s="1" t="s">
        <v>16</v>
      </c>
      <c r="F542">
        <v>108</v>
      </c>
      <c r="G542">
        <v>1</v>
      </c>
      <c r="J542">
        <v>5.3</v>
      </c>
      <c r="K542">
        <v>51</v>
      </c>
      <c r="M542" s="1">
        <v>25</v>
      </c>
      <c r="P542" t="s">
        <v>81</v>
      </c>
    </row>
    <row r="543" spans="1:16" x14ac:dyDescent="0.3">
      <c r="A543">
        <v>2018</v>
      </c>
      <c r="B543">
        <v>280</v>
      </c>
      <c r="C543">
        <v>26</v>
      </c>
      <c r="D543" s="1">
        <v>4136</v>
      </c>
      <c r="E543" s="1" t="s">
        <v>16</v>
      </c>
      <c r="F543">
        <v>108</v>
      </c>
      <c r="G543">
        <v>1</v>
      </c>
      <c r="J543">
        <v>5.7</v>
      </c>
      <c r="K543">
        <v>52</v>
      </c>
      <c r="M543" s="1">
        <v>22</v>
      </c>
      <c r="P543" t="s">
        <v>82</v>
      </c>
    </row>
    <row r="544" spans="1:16" x14ac:dyDescent="0.3">
      <c r="A544">
        <v>2018</v>
      </c>
      <c r="B544">
        <v>280</v>
      </c>
      <c r="C544">
        <v>27</v>
      </c>
      <c r="D544" s="1">
        <v>4137</v>
      </c>
      <c r="E544" s="1" t="s">
        <v>16</v>
      </c>
      <c r="F544">
        <v>108</v>
      </c>
      <c r="G544">
        <v>1</v>
      </c>
      <c r="J544">
        <v>8.6999999999999993</v>
      </c>
      <c r="K544">
        <v>61</v>
      </c>
      <c r="M544" s="1">
        <v>48</v>
      </c>
    </row>
    <row r="545" spans="1:16" x14ac:dyDescent="0.3">
      <c r="A545">
        <v>2018</v>
      </c>
      <c r="B545">
        <v>280</v>
      </c>
      <c r="C545">
        <v>28</v>
      </c>
      <c r="D545" s="1">
        <v>4138</v>
      </c>
      <c r="E545" s="1" t="s">
        <v>16</v>
      </c>
      <c r="F545">
        <v>108</v>
      </c>
      <c r="G545">
        <v>1</v>
      </c>
      <c r="J545">
        <v>5.3</v>
      </c>
      <c r="K545">
        <v>48</v>
      </c>
      <c r="M545" s="1">
        <v>21</v>
      </c>
      <c r="P545" t="s">
        <v>83</v>
      </c>
    </row>
    <row r="546" spans="1:16" x14ac:dyDescent="0.3">
      <c r="A546">
        <v>2018</v>
      </c>
      <c r="B546">
        <v>280</v>
      </c>
      <c r="C546">
        <v>29</v>
      </c>
      <c r="D546" s="1">
        <v>4139</v>
      </c>
      <c r="E546" s="1" t="s">
        <v>16</v>
      </c>
      <c r="F546">
        <v>108</v>
      </c>
      <c r="G546">
        <v>1</v>
      </c>
      <c r="J546">
        <v>6.6</v>
      </c>
      <c r="K546">
        <v>53</v>
      </c>
      <c r="M546" s="1">
        <v>29</v>
      </c>
    </row>
    <row r="547" spans="1:16" x14ac:dyDescent="0.3">
      <c r="A547">
        <v>2018</v>
      </c>
      <c r="B547">
        <v>280</v>
      </c>
      <c r="C547">
        <v>30</v>
      </c>
      <c r="D547" s="1">
        <v>4140</v>
      </c>
      <c r="E547" s="1" t="s">
        <v>16</v>
      </c>
      <c r="F547">
        <v>108</v>
      </c>
      <c r="G547">
        <v>1</v>
      </c>
      <c r="J547">
        <v>5.4</v>
      </c>
      <c r="K547">
        <v>51</v>
      </c>
      <c r="M547" s="1">
        <v>22</v>
      </c>
    </row>
    <row r="548" spans="1:16" x14ac:dyDescent="0.3">
      <c r="A548">
        <v>2018</v>
      </c>
      <c r="B548">
        <v>280</v>
      </c>
      <c r="C548">
        <v>31</v>
      </c>
      <c r="D548" s="1">
        <v>4141</v>
      </c>
      <c r="E548" s="1" t="s">
        <v>16</v>
      </c>
      <c r="F548">
        <v>108</v>
      </c>
      <c r="G548">
        <v>1</v>
      </c>
      <c r="J548">
        <v>5.2</v>
      </c>
      <c r="K548">
        <v>50</v>
      </c>
      <c r="M548" s="1">
        <v>31</v>
      </c>
    </row>
    <row r="549" spans="1:16" x14ac:dyDescent="0.3">
      <c r="A549">
        <v>2018</v>
      </c>
      <c r="B549">
        <v>280</v>
      </c>
      <c r="C549">
        <v>32</v>
      </c>
      <c r="D549" s="1">
        <v>4142</v>
      </c>
      <c r="E549" s="1" t="s">
        <v>34</v>
      </c>
      <c r="F549">
        <v>108</v>
      </c>
      <c r="G549">
        <v>2</v>
      </c>
      <c r="I549">
        <v>1</v>
      </c>
      <c r="J549">
        <v>6</v>
      </c>
      <c r="K549">
        <v>51</v>
      </c>
      <c r="M549" s="1">
        <v>38</v>
      </c>
    </row>
    <row r="550" spans="1:16" x14ac:dyDescent="0.3">
      <c r="A550">
        <v>2018</v>
      </c>
      <c r="B550">
        <v>280</v>
      </c>
      <c r="C550">
        <v>33</v>
      </c>
      <c r="D550" s="1">
        <v>4143</v>
      </c>
      <c r="E550" s="1" t="s">
        <v>16</v>
      </c>
      <c r="F550">
        <v>108</v>
      </c>
      <c r="G550">
        <v>1</v>
      </c>
      <c r="J550">
        <v>6.6</v>
      </c>
      <c r="K550">
        <v>53</v>
      </c>
      <c r="M550" s="1">
        <v>27</v>
      </c>
      <c r="P550" t="s">
        <v>84</v>
      </c>
    </row>
    <row r="551" spans="1:16" x14ac:dyDescent="0.3">
      <c r="A551">
        <v>2018</v>
      </c>
      <c r="B551">
        <v>280</v>
      </c>
      <c r="C551">
        <v>34</v>
      </c>
      <c r="D551" s="1">
        <v>4144</v>
      </c>
      <c r="E551" s="1" t="s">
        <v>16</v>
      </c>
      <c r="F551">
        <v>108</v>
      </c>
      <c r="G551">
        <v>1</v>
      </c>
      <c r="J551">
        <v>6.3</v>
      </c>
      <c r="K551">
        <v>50</v>
      </c>
      <c r="M551" s="1">
        <v>33</v>
      </c>
    </row>
    <row r="552" spans="1:16" x14ac:dyDescent="0.3">
      <c r="A552">
        <v>2018</v>
      </c>
      <c r="B552">
        <v>280</v>
      </c>
      <c r="C552">
        <v>35</v>
      </c>
      <c r="D552" s="1">
        <v>4145</v>
      </c>
      <c r="E552" s="1" t="s">
        <v>16</v>
      </c>
      <c r="F552">
        <v>108</v>
      </c>
      <c r="G552">
        <v>1</v>
      </c>
      <c r="J552">
        <v>6.7</v>
      </c>
      <c r="K552">
        <v>56</v>
      </c>
      <c r="M552" s="1">
        <v>39</v>
      </c>
    </row>
    <row r="553" spans="1:16" x14ac:dyDescent="0.3">
      <c r="A553">
        <v>2018</v>
      </c>
      <c r="B553">
        <v>280</v>
      </c>
      <c r="C553">
        <v>36</v>
      </c>
      <c r="D553" s="1">
        <v>4146</v>
      </c>
      <c r="E553" s="1" t="s">
        <v>16</v>
      </c>
      <c r="F553">
        <v>108</v>
      </c>
      <c r="G553">
        <v>1</v>
      </c>
      <c r="J553">
        <v>6.5</v>
      </c>
      <c r="K553">
        <v>57</v>
      </c>
      <c r="M553" s="1">
        <v>41</v>
      </c>
    </row>
    <row r="554" spans="1:16" x14ac:dyDescent="0.3">
      <c r="A554">
        <v>2018</v>
      </c>
      <c r="B554">
        <v>280</v>
      </c>
      <c r="C554">
        <v>37</v>
      </c>
      <c r="D554" s="1">
        <v>4147</v>
      </c>
      <c r="E554" s="1" t="s">
        <v>16</v>
      </c>
      <c r="F554">
        <v>108</v>
      </c>
      <c r="G554">
        <v>1</v>
      </c>
      <c r="J554">
        <v>5.4</v>
      </c>
      <c r="K554">
        <v>52</v>
      </c>
      <c r="M554" s="1">
        <v>24</v>
      </c>
    </row>
    <row r="555" spans="1:16" x14ac:dyDescent="0.3">
      <c r="A555">
        <v>2018</v>
      </c>
      <c r="B555">
        <v>280</v>
      </c>
      <c r="C555">
        <v>38</v>
      </c>
      <c r="D555" s="1">
        <v>4148</v>
      </c>
      <c r="E555" s="1" t="s">
        <v>16</v>
      </c>
      <c r="F555">
        <v>108</v>
      </c>
      <c r="G555">
        <v>1</v>
      </c>
      <c r="J555">
        <v>5.4</v>
      </c>
      <c r="K555">
        <v>54</v>
      </c>
      <c r="M555" s="1">
        <v>30</v>
      </c>
    </row>
    <row r="556" spans="1:16" x14ac:dyDescent="0.3">
      <c r="A556">
        <v>2018</v>
      </c>
      <c r="B556">
        <v>280</v>
      </c>
      <c r="C556">
        <v>39</v>
      </c>
      <c r="D556" s="1">
        <v>4149</v>
      </c>
      <c r="E556" s="1" t="s">
        <v>16</v>
      </c>
      <c r="F556">
        <v>108</v>
      </c>
      <c r="G556">
        <v>1</v>
      </c>
      <c r="J556">
        <v>6.4</v>
      </c>
      <c r="K556">
        <v>54</v>
      </c>
      <c r="M556" s="1">
        <v>35</v>
      </c>
    </row>
    <row r="557" spans="1:16" x14ac:dyDescent="0.3">
      <c r="A557">
        <v>2018</v>
      </c>
      <c r="B557">
        <v>280</v>
      </c>
      <c r="C557">
        <v>40</v>
      </c>
      <c r="D557" s="1">
        <v>4150</v>
      </c>
      <c r="E557" s="1" t="s">
        <v>24</v>
      </c>
      <c r="F557">
        <v>108</v>
      </c>
      <c r="G557">
        <v>2</v>
      </c>
      <c r="I557">
        <v>1</v>
      </c>
      <c r="J557">
        <v>5.3</v>
      </c>
      <c r="K557">
        <v>48</v>
      </c>
      <c r="M557" s="1">
        <v>22</v>
      </c>
      <c r="P557" t="s">
        <v>85</v>
      </c>
    </row>
    <row r="558" spans="1:16" x14ac:dyDescent="0.3">
      <c r="A558">
        <v>2018</v>
      </c>
      <c r="B558">
        <v>280</v>
      </c>
      <c r="C558">
        <v>41</v>
      </c>
      <c r="D558" s="1">
        <v>4151</v>
      </c>
      <c r="E558" s="1" t="s">
        <v>24</v>
      </c>
      <c r="F558">
        <v>108</v>
      </c>
      <c r="G558">
        <v>2</v>
      </c>
      <c r="I558">
        <v>1</v>
      </c>
      <c r="J558">
        <v>5.3</v>
      </c>
      <c r="K558">
        <v>47</v>
      </c>
      <c r="M558" s="1">
        <v>32</v>
      </c>
    </row>
    <row r="559" spans="1:16" x14ac:dyDescent="0.3">
      <c r="A559">
        <v>2018</v>
      </c>
      <c r="B559">
        <v>280</v>
      </c>
      <c r="C559">
        <v>42</v>
      </c>
      <c r="D559" s="1">
        <v>4152</v>
      </c>
      <c r="E559" s="1" t="s">
        <v>16</v>
      </c>
      <c r="F559">
        <v>108</v>
      </c>
      <c r="G559">
        <v>1</v>
      </c>
      <c r="J559">
        <v>3.3</v>
      </c>
    </row>
    <row r="560" spans="1:16" x14ac:dyDescent="0.3">
      <c r="A560">
        <v>2018</v>
      </c>
      <c r="B560">
        <v>280</v>
      </c>
      <c r="C560">
        <v>43</v>
      </c>
      <c r="D560" s="1">
        <v>4153</v>
      </c>
      <c r="E560" s="1" t="s">
        <v>16</v>
      </c>
      <c r="F560">
        <v>108</v>
      </c>
      <c r="G560">
        <v>1</v>
      </c>
      <c r="J560">
        <v>4.4000000000000004</v>
      </c>
    </row>
    <row r="561" spans="1:16" x14ac:dyDescent="0.3">
      <c r="A561">
        <v>2018</v>
      </c>
      <c r="B561">
        <v>280</v>
      </c>
      <c r="C561">
        <v>44</v>
      </c>
      <c r="D561" s="1">
        <v>4154</v>
      </c>
      <c r="E561" s="1" t="s">
        <v>19</v>
      </c>
      <c r="F561">
        <v>108</v>
      </c>
      <c r="G561">
        <v>1</v>
      </c>
      <c r="J561">
        <v>4.5999999999999996</v>
      </c>
      <c r="P561" t="s">
        <v>86</v>
      </c>
    </row>
    <row r="562" spans="1:16" x14ac:dyDescent="0.3">
      <c r="A562">
        <v>2018</v>
      </c>
      <c r="B562">
        <v>281</v>
      </c>
      <c r="C562">
        <v>1</v>
      </c>
      <c r="D562" s="1">
        <v>4155</v>
      </c>
      <c r="E562" s="1" t="s">
        <v>19</v>
      </c>
      <c r="F562">
        <v>108</v>
      </c>
      <c r="G562">
        <v>1</v>
      </c>
      <c r="J562">
        <v>10.7</v>
      </c>
      <c r="K562">
        <v>78</v>
      </c>
      <c r="M562" s="1">
        <v>66</v>
      </c>
      <c r="O562">
        <v>2</v>
      </c>
    </row>
    <row r="563" spans="1:16" x14ac:dyDescent="0.3">
      <c r="A563">
        <v>2018</v>
      </c>
      <c r="B563">
        <v>281</v>
      </c>
      <c r="C563">
        <v>2</v>
      </c>
      <c r="D563" s="1">
        <v>4156</v>
      </c>
      <c r="E563" s="1" t="s">
        <v>24</v>
      </c>
      <c r="F563">
        <v>108</v>
      </c>
      <c r="G563">
        <v>2</v>
      </c>
      <c r="I563">
        <v>1</v>
      </c>
      <c r="J563">
        <v>10</v>
      </c>
      <c r="K563">
        <v>78</v>
      </c>
      <c r="M563" s="1">
        <v>60</v>
      </c>
    </row>
    <row r="564" spans="1:16" x14ac:dyDescent="0.3">
      <c r="A564">
        <v>2018</v>
      </c>
      <c r="B564">
        <v>281</v>
      </c>
      <c r="C564">
        <v>3</v>
      </c>
      <c r="D564" s="1">
        <v>4157</v>
      </c>
      <c r="E564" s="1" t="s">
        <v>24</v>
      </c>
      <c r="F564">
        <v>108</v>
      </c>
      <c r="G564">
        <v>2</v>
      </c>
      <c r="I564">
        <v>1</v>
      </c>
      <c r="J564">
        <v>8.6999999999999993</v>
      </c>
      <c r="K564">
        <v>70</v>
      </c>
      <c r="M564" s="1">
        <v>48</v>
      </c>
    </row>
    <row r="565" spans="1:16" x14ac:dyDescent="0.3">
      <c r="A565">
        <v>2018</v>
      </c>
      <c r="B565">
        <v>281</v>
      </c>
      <c r="C565">
        <v>4</v>
      </c>
      <c r="D565" s="1">
        <v>4158</v>
      </c>
      <c r="E565" s="1" t="s">
        <v>34</v>
      </c>
      <c r="F565">
        <v>108</v>
      </c>
      <c r="G565">
        <v>2</v>
      </c>
      <c r="I565">
        <v>1</v>
      </c>
      <c r="J565">
        <v>10.4</v>
      </c>
      <c r="K565">
        <v>65</v>
      </c>
      <c r="M565" s="1">
        <v>54</v>
      </c>
    </row>
    <row r="566" spans="1:16" x14ac:dyDescent="0.3">
      <c r="A566">
        <v>2018</v>
      </c>
      <c r="B566">
        <v>281</v>
      </c>
      <c r="C566">
        <v>5</v>
      </c>
      <c r="D566" s="1">
        <v>4159</v>
      </c>
      <c r="E566" s="1" t="s">
        <v>34</v>
      </c>
      <c r="F566">
        <v>108</v>
      </c>
      <c r="G566">
        <v>2</v>
      </c>
      <c r="I566">
        <v>1</v>
      </c>
      <c r="J566">
        <v>11.1</v>
      </c>
      <c r="K566">
        <v>70</v>
      </c>
      <c r="M566" s="1">
        <v>55</v>
      </c>
    </row>
    <row r="567" spans="1:16" x14ac:dyDescent="0.3">
      <c r="A567">
        <v>2018</v>
      </c>
      <c r="B567">
        <v>281</v>
      </c>
      <c r="C567">
        <v>6</v>
      </c>
      <c r="D567" s="1">
        <v>4160</v>
      </c>
      <c r="E567" s="1" t="s">
        <v>16</v>
      </c>
      <c r="F567">
        <v>108</v>
      </c>
      <c r="G567">
        <v>1</v>
      </c>
      <c r="J567">
        <v>7.6</v>
      </c>
      <c r="K567">
        <v>51</v>
      </c>
      <c r="M567" s="1">
        <v>35</v>
      </c>
    </row>
    <row r="568" spans="1:16" x14ac:dyDescent="0.3">
      <c r="A568">
        <v>2018</v>
      </c>
      <c r="B568">
        <v>281</v>
      </c>
      <c r="C568">
        <v>7</v>
      </c>
      <c r="D568" s="1">
        <v>4161</v>
      </c>
      <c r="E568" s="1" t="s">
        <v>16</v>
      </c>
      <c r="F568">
        <v>73</v>
      </c>
      <c r="G568">
        <v>1</v>
      </c>
      <c r="J568">
        <v>7.7</v>
      </c>
      <c r="K568">
        <v>43</v>
      </c>
      <c r="M568" s="1">
        <v>32</v>
      </c>
    </row>
    <row r="569" spans="1:16" x14ac:dyDescent="0.3">
      <c r="A569">
        <v>2018</v>
      </c>
      <c r="B569">
        <v>281</v>
      </c>
      <c r="C569">
        <v>8</v>
      </c>
      <c r="D569" s="1">
        <v>4162</v>
      </c>
      <c r="E569" s="1" t="s">
        <v>34</v>
      </c>
      <c r="F569">
        <v>108</v>
      </c>
      <c r="G569">
        <v>2</v>
      </c>
      <c r="I569">
        <v>1</v>
      </c>
      <c r="J569">
        <v>10.4</v>
      </c>
      <c r="K569">
        <v>64</v>
      </c>
      <c r="M569" s="1">
        <v>46</v>
      </c>
    </row>
    <row r="570" spans="1:16" x14ac:dyDescent="0.3">
      <c r="A570">
        <v>2018</v>
      </c>
      <c r="B570">
        <v>281</v>
      </c>
      <c r="C570">
        <v>9</v>
      </c>
      <c r="D570" s="1">
        <v>4163</v>
      </c>
      <c r="E570" s="1" t="s">
        <v>16</v>
      </c>
      <c r="F570">
        <v>108</v>
      </c>
      <c r="G570">
        <v>1</v>
      </c>
      <c r="J570">
        <v>9.6999999999999993</v>
      </c>
      <c r="K570">
        <v>68</v>
      </c>
      <c r="M570" s="1">
        <v>55</v>
      </c>
    </row>
    <row r="571" spans="1:16" x14ac:dyDescent="0.3">
      <c r="A571">
        <v>2018</v>
      </c>
      <c r="B571">
        <v>281</v>
      </c>
      <c r="C571">
        <v>10</v>
      </c>
      <c r="D571" s="1">
        <v>4164</v>
      </c>
      <c r="E571" s="1" t="s">
        <v>34</v>
      </c>
      <c r="F571">
        <v>108</v>
      </c>
      <c r="G571">
        <v>2</v>
      </c>
      <c r="I571">
        <v>2</v>
      </c>
      <c r="J571">
        <v>11.8</v>
      </c>
      <c r="K571">
        <v>67</v>
      </c>
      <c r="M571" s="1">
        <v>52</v>
      </c>
    </row>
    <row r="572" spans="1:16" x14ac:dyDescent="0.3">
      <c r="A572">
        <v>2018</v>
      </c>
      <c r="B572">
        <v>281</v>
      </c>
      <c r="C572">
        <v>11</v>
      </c>
      <c r="D572" s="1">
        <v>4165</v>
      </c>
      <c r="E572" s="1" t="s">
        <v>34</v>
      </c>
      <c r="F572">
        <v>108</v>
      </c>
      <c r="G572">
        <v>2</v>
      </c>
      <c r="I572">
        <v>2</v>
      </c>
      <c r="J572">
        <v>12</v>
      </c>
      <c r="K572">
        <v>68</v>
      </c>
      <c r="M572" s="1">
        <v>52</v>
      </c>
    </row>
    <row r="573" spans="1:16" x14ac:dyDescent="0.3">
      <c r="A573">
        <v>2018</v>
      </c>
      <c r="B573">
        <v>281</v>
      </c>
      <c r="C573">
        <v>12</v>
      </c>
      <c r="D573" s="1">
        <v>4166</v>
      </c>
      <c r="E573" s="1" t="s">
        <v>34</v>
      </c>
      <c r="F573">
        <v>108</v>
      </c>
      <c r="G573">
        <v>2</v>
      </c>
      <c r="I573">
        <v>2</v>
      </c>
      <c r="J573">
        <v>12.6</v>
      </c>
      <c r="K573">
        <v>62</v>
      </c>
      <c r="M573" s="1">
        <v>49</v>
      </c>
    </row>
    <row r="574" spans="1:16" x14ac:dyDescent="0.3">
      <c r="A574">
        <v>2018</v>
      </c>
      <c r="B574">
        <v>281</v>
      </c>
      <c r="C574">
        <v>13</v>
      </c>
      <c r="D574" s="1">
        <v>4167</v>
      </c>
      <c r="E574" s="1" t="s">
        <v>16</v>
      </c>
      <c r="F574">
        <v>108</v>
      </c>
      <c r="G574">
        <v>1</v>
      </c>
      <c r="J574">
        <v>9.4</v>
      </c>
      <c r="K574">
        <v>64</v>
      </c>
      <c r="M574" s="1">
        <v>56</v>
      </c>
    </row>
    <row r="575" spans="1:16" x14ac:dyDescent="0.3">
      <c r="A575">
        <v>2018</v>
      </c>
      <c r="B575">
        <v>281</v>
      </c>
      <c r="C575">
        <v>14</v>
      </c>
      <c r="D575" s="1">
        <v>4168</v>
      </c>
      <c r="E575" s="1" t="s">
        <v>16</v>
      </c>
      <c r="F575">
        <v>108</v>
      </c>
      <c r="G575">
        <v>1</v>
      </c>
      <c r="J575">
        <v>8.5</v>
      </c>
      <c r="K575">
        <v>62</v>
      </c>
      <c r="M575" s="1">
        <v>46</v>
      </c>
    </row>
    <row r="576" spans="1:16" x14ac:dyDescent="0.3">
      <c r="A576">
        <v>2018</v>
      </c>
      <c r="B576">
        <v>281</v>
      </c>
      <c r="C576">
        <v>15</v>
      </c>
      <c r="D576" s="1">
        <v>4169</v>
      </c>
      <c r="E576" s="1" t="s">
        <v>34</v>
      </c>
      <c r="F576">
        <v>108</v>
      </c>
      <c r="G576">
        <v>2</v>
      </c>
      <c r="I576">
        <v>3</v>
      </c>
      <c r="J576">
        <v>15.3</v>
      </c>
      <c r="K576">
        <v>62</v>
      </c>
      <c r="M576" s="1">
        <v>56</v>
      </c>
    </row>
    <row r="577" spans="1:14" x14ac:dyDescent="0.3">
      <c r="A577">
        <v>2018</v>
      </c>
      <c r="B577">
        <v>283</v>
      </c>
      <c r="C577">
        <v>1</v>
      </c>
      <c r="D577" s="1">
        <v>4170</v>
      </c>
      <c r="E577" s="1" t="s">
        <v>24</v>
      </c>
      <c r="F577">
        <v>108</v>
      </c>
      <c r="G577">
        <v>2</v>
      </c>
      <c r="I577">
        <v>2</v>
      </c>
      <c r="J577">
        <v>5.2</v>
      </c>
      <c r="K577">
        <v>38</v>
      </c>
      <c r="M577" s="1">
        <v>18</v>
      </c>
    </row>
    <row r="578" spans="1:14" x14ac:dyDescent="0.3">
      <c r="A578">
        <v>2018</v>
      </c>
      <c r="B578">
        <v>283</v>
      </c>
      <c r="C578">
        <v>2</v>
      </c>
      <c r="D578" s="1">
        <v>4171</v>
      </c>
      <c r="E578" s="1" t="s">
        <v>16</v>
      </c>
      <c r="F578">
        <v>108</v>
      </c>
      <c r="G578">
        <v>1</v>
      </c>
      <c r="J578">
        <v>6.5</v>
      </c>
      <c r="K578">
        <v>48</v>
      </c>
      <c r="M578" s="1">
        <v>34</v>
      </c>
    </row>
    <row r="579" spans="1:14" x14ac:dyDescent="0.3">
      <c r="A579">
        <v>2018</v>
      </c>
      <c r="B579">
        <v>283</v>
      </c>
      <c r="C579">
        <v>3</v>
      </c>
      <c r="D579" s="1">
        <v>4172</v>
      </c>
      <c r="E579" s="1" t="s">
        <v>16</v>
      </c>
      <c r="F579">
        <v>108</v>
      </c>
      <c r="G579">
        <v>1</v>
      </c>
      <c r="J579">
        <v>5.7</v>
      </c>
      <c r="K579">
        <v>43</v>
      </c>
      <c r="M579" s="1">
        <v>31</v>
      </c>
    </row>
    <row r="580" spans="1:14" x14ac:dyDescent="0.3">
      <c r="A580">
        <v>2018</v>
      </c>
      <c r="B580">
        <v>283</v>
      </c>
      <c r="C580">
        <v>4</v>
      </c>
      <c r="D580" s="1">
        <v>4173</v>
      </c>
      <c r="E580" s="1" t="s">
        <v>24</v>
      </c>
      <c r="F580">
        <v>108</v>
      </c>
      <c r="G580">
        <v>2</v>
      </c>
      <c r="I580">
        <v>2</v>
      </c>
      <c r="J580">
        <v>5.6</v>
      </c>
      <c r="K580">
        <v>30</v>
      </c>
      <c r="M580" s="1">
        <v>15</v>
      </c>
    </row>
    <row r="581" spans="1:14" x14ac:dyDescent="0.3">
      <c r="A581">
        <v>2018</v>
      </c>
      <c r="B581">
        <v>283</v>
      </c>
      <c r="C581">
        <v>5</v>
      </c>
      <c r="D581" s="1">
        <v>4174</v>
      </c>
      <c r="E581" s="1" t="s">
        <v>34</v>
      </c>
      <c r="F581">
        <v>108</v>
      </c>
      <c r="G581">
        <v>2</v>
      </c>
      <c r="I581">
        <v>2</v>
      </c>
      <c r="J581">
        <v>6.5</v>
      </c>
      <c r="K581">
        <v>42</v>
      </c>
      <c r="M581" s="1">
        <v>30</v>
      </c>
    </row>
    <row r="582" spans="1:14" x14ac:dyDescent="0.3">
      <c r="A582">
        <v>2018</v>
      </c>
      <c r="B582">
        <v>283</v>
      </c>
      <c r="C582">
        <v>6</v>
      </c>
      <c r="D582" s="1">
        <v>4175</v>
      </c>
      <c r="E582" s="1" t="s">
        <v>24</v>
      </c>
      <c r="F582">
        <v>108</v>
      </c>
      <c r="G582">
        <v>2</v>
      </c>
      <c r="I582">
        <v>2</v>
      </c>
      <c r="J582">
        <v>6.1</v>
      </c>
      <c r="K582">
        <v>38</v>
      </c>
      <c r="M582" s="1">
        <v>26</v>
      </c>
    </row>
    <row r="583" spans="1:14" x14ac:dyDescent="0.3">
      <c r="A583">
        <v>2018</v>
      </c>
      <c r="B583">
        <v>283</v>
      </c>
      <c r="C583">
        <v>7</v>
      </c>
      <c r="D583" s="1">
        <v>4176</v>
      </c>
      <c r="E583" s="1" t="s">
        <v>16</v>
      </c>
      <c r="F583">
        <v>108</v>
      </c>
      <c r="G583">
        <v>1</v>
      </c>
      <c r="J583">
        <v>5.4</v>
      </c>
      <c r="K583">
        <v>44</v>
      </c>
      <c r="M583" s="1">
        <v>29</v>
      </c>
    </row>
    <row r="584" spans="1:14" x14ac:dyDescent="0.3">
      <c r="A584">
        <v>2018</v>
      </c>
      <c r="B584">
        <v>283</v>
      </c>
      <c r="C584">
        <v>8</v>
      </c>
      <c r="D584" s="1">
        <v>4177</v>
      </c>
      <c r="E584" s="1" t="s">
        <v>24</v>
      </c>
      <c r="F584">
        <v>108</v>
      </c>
      <c r="G584">
        <v>2</v>
      </c>
      <c r="I584">
        <v>2</v>
      </c>
      <c r="J584">
        <v>6.8</v>
      </c>
      <c r="K584">
        <v>46</v>
      </c>
      <c r="L584">
        <v>41</v>
      </c>
      <c r="M584" s="1">
        <v>34</v>
      </c>
      <c r="N584" s="1">
        <v>2</v>
      </c>
    </row>
    <row r="585" spans="1:14" x14ac:dyDescent="0.3">
      <c r="A585">
        <v>2018</v>
      </c>
      <c r="B585">
        <v>283</v>
      </c>
      <c r="C585">
        <v>9</v>
      </c>
      <c r="D585" s="1">
        <v>4178</v>
      </c>
      <c r="E585" s="1" t="s">
        <v>16</v>
      </c>
      <c r="F585">
        <v>108</v>
      </c>
      <c r="G585">
        <v>1</v>
      </c>
      <c r="J585">
        <v>8.6999999999999993</v>
      </c>
      <c r="K585">
        <v>40</v>
      </c>
      <c r="M585" s="1">
        <v>32</v>
      </c>
    </row>
    <row r="586" spans="1:14" x14ac:dyDescent="0.3">
      <c r="A586">
        <v>2018</v>
      </c>
      <c r="B586">
        <v>283</v>
      </c>
      <c r="C586">
        <v>10</v>
      </c>
      <c r="D586" s="1">
        <v>4179</v>
      </c>
      <c r="E586" s="1" t="s">
        <v>16</v>
      </c>
      <c r="F586">
        <v>108</v>
      </c>
      <c r="G586">
        <v>1</v>
      </c>
      <c r="J586">
        <v>6.6</v>
      </c>
      <c r="K586">
        <v>52</v>
      </c>
      <c r="M586" s="1">
        <v>43</v>
      </c>
    </row>
    <row r="587" spans="1:14" x14ac:dyDescent="0.3">
      <c r="A587">
        <v>2018</v>
      </c>
      <c r="B587">
        <v>283</v>
      </c>
      <c r="C587">
        <v>11</v>
      </c>
      <c r="D587" s="1">
        <v>4180</v>
      </c>
      <c r="E587" s="1" t="s">
        <v>16</v>
      </c>
      <c r="F587">
        <v>108</v>
      </c>
      <c r="G587">
        <v>1</v>
      </c>
      <c r="J587">
        <v>7</v>
      </c>
      <c r="K587">
        <v>52</v>
      </c>
      <c r="M587" s="1">
        <v>40</v>
      </c>
    </row>
    <row r="588" spans="1:14" x14ac:dyDescent="0.3">
      <c r="A588">
        <v>2018</v>
      </c>
      <c r="B588">
        <v>283</v>
      </c>
      <c r="C588">
        <v>12</v>
      </c>
      <c r="D588" s="1">
        <v>4181</v>
      </c>
      <c r="E588" s="1" t="s">
        <v>16</v>
      </c>
      <c r="F588">
        <v>108</v>
      </c>
      <c r="G588">
        <v>1</v>
      </c>
      <c r="J588">
        <v>7.8</v>
      </c>
      <c r="K588">
        <v>54</v>
      </c>
      <c r="M588" s="1">
        <v>46</v>
      </c>
    </row>
    <row r="589" spans="1:14" x14ac:dyDescent="0.3">
      <c r="A589">
        <v>2018</v>
      </c>
      <c r="B589">
        <v>283</v>
      </c>
      <c r="C589">
        <v>13</v>
      </c>
      <c r="D589" s="1">
        <v>4182</v>
      </c>
      <c r="E589" s="1" t="s">
        <v>16</v>
      </c>
      <c r="F589">
        <v>108</v>
      </c>
      <c r="G589">
        <v>1</v>
      </c>
      <c r="J589">
        <v>5.9</v>
      </c>
      <c r="K589">
        <v>51</v>
      </c>
      <c r="M589" s="1">
        <v>38</v>
      </c>
    </row>
    <row r="590" spans="1:14" x14ac:dyDescent="0.3">
      <c r="A590">
        <v>2018</v>
      </c>
      <c r="B590">
        <v>283</v>
      </c>
      <c r="C590">
        <v>14</v>
      </c>
      <c r="D590" s="1">
        <v>4183</v>
      </c>
      <c r="E590" s="1" t="s">
        <v>16</v>
      </c>
      <c r="F590">
        <v>108</v>
      </c>
      <c r="G590">
        <v>1</v>
      </c>
      <c r="J590">
        <v>7.6</v>
      </c>
      <c r="K590">
        <v>52</v>
      </c>
      <c r="M590" s="1">
        <v>40</v>
      </c>
    </row>
    <row r="591" spans="1:14" x14ac:dyDescent="0.3">
      <c r="A591">
        <v>2018</v>
      </c>
      <c r="B591">
        <v>283</v>
      </c>
      <c r="C591">
        <v>15</v>
      </c>
      <c r="D591" s="1">
        <v>4184</v>
      </c>
      <c r="E591" s="1" t="s">
        <v>16</v>
      </c>
      <c r="F591">
        <v>108</v>
      </c>
      <c r="G591">
        <v>1</v>
      </c>
      <c r="J591">
        <v>7.4</v>
      </c>
      <c r="K591">
        <v>51</v>
      </c>
      <c r="M591" s="1">
        <v>40</v>
      </c>
    </row>
    <row r="592" spans="1:14" x14ac:dyDescent="0.3">
      <c r="A592">
        <v>2023</v>
      </c>
      <c r="B592">
        <v>12</v>
      </c>
      <c r="C592">
        <v>1</v>
      </c>
      <c r="D592" s="1">
        <v>153</v>
      </c>
      <c r="E592" s="1" t="s">
        <v>16</v>
      </c>
      <c r="F592">
        <v>202</v>
      </c>
      <c r="G592">
        <v>1</v>
      </c>
      <c r="J592">
        <v>25</v>
      </c>
      <c r="K592">
        <v>92</v>
      </c>
    </row>
    <row r="593" spans="1:16" x14ac:dyDescent="0.3">
      <c r="A593">
        <v>2023</v>
      </c>
      <c r="B593">
        <v>12</v>
      </c>
      <c r="C593">
        <v>2</v>
      </c>
      <c r="D593" s="1">
        <v>154</v>
      </c>
      <c r="E593" s="1" t="s">
        <v>16</v>
      </c>
      <c r="F593">
        <v>202</v>
      </c>
      <c r="G593">
        <v>1</v>
      </c>
      <c r="J593">
        <v>5.5</v>
      </c>
      <c r="K593">
        <v>35</v>
      </c>
    </row>
    <row r="594" spans="1:16" x14ac:dyDescent="0.3">
      <c r="A594">
        <v>2023</v>
      </c>
      <c r="B594">
        <v>12</v>
      </c>
      <c r="C594">
        <v>3</v>
      </c>
      <c r="D594" s="1">
        <v>155</v>
      </c>
      <c r="E594" s="1" t="s">
        <v>16</v>
      </c>
      <c r="F594">
        <v>202</v>
      </c>
      <c r="G594">
        <v>1</v>
      </c>
      <c r="J594">
        <v>7.3</v>
      </c>
      <c r="K594">
        <v>51</v>
      </c>
    </row>
    <row r="595" spans="1:16" x14ac:dyDescent="0.3">
      <c r="A595">
        <v>2023</v>
      </c>
      <c r="B595">
        <v>12</v>
      </c>
      <c r="C595">
        <v>4</v>
      </c>
      <c r="D595" s="1">
        <v>156</v>
      </c>
      <c r="E595" s="1" t="s">
        <v>16</v>
      </c>
      <c r="F595">
        <v>202</v>
      </c>
      <c r="G595">
        <v>1</v>
      </c>
      <c r="J595">
        <v>6.2</v>
      </c>
      <c r="K595">
        <v>43</v>
      </c>
    </row>
    <row r="596" spans="1:16" x14ac:dyDescent="0.3">
      <c r="A596">
        <v>2023</v>
      </c>
      <c r="B596">
        <v>12</v>
      </c>
      <c r="C596">
        <v>5</v>
      </c>
      <c r="D596" s="1">
        <v>157</v>
      </c>
      <c r="E596" s="1" t="s">
        <v>16</v>
      </c>
      <c r="F596">
        <v>202</v>
      </c>
      <c r="G596">
        <v>1</v>
      </c>
      <c r="J596">
        <v>14.1</v>
      </c>
      <c r="K596">
        <v>68</v>
      </c>
    </row>
    <row r="597" spans="1:16" x14ac:dyDescent="0.3">
      <c r="A597">
        <v>2023</v>
      </c>
      <c r="B597">
        <v>12</v>
      </c>
      <c r="C597">
        <v>6</v>
      </c>
      <c r="D597" s="1">
        <v>158</v>
      </c>
      <c r="E597" s="1" t="s">
        <v>16</v>
      </c>
      <c r="F597">
        <v>202</v>
      </c>
      <c r="G597">
        <v>1</v>
      </c>
      <c r="J597">
        <v>21.2</v>
      </c>
      <c r="K597">
        <v>74</v>
      </c>
      <c r="P597" t="s">
        <v>87</v>
      </c>
    </row>
    <row r="598" spans="1:16" x14ac:dyDescent="0.3">
      <c r="A598">
        <v>2023</v>
      </c>
      <c r="B598">
        <v>12</v>
      </c>
      <c r="C598">
        <v>7</v>
      </c>
      <c r="D598" s="1">
        <v>159</v>
      </c>
      <c r="E598" s="1" t="s">
        <v>16</v>
      </c>
      <c r="F598">
        <v>202</v>
      </c>
      <c r="G598">
        <v>1</v>
      </c>
      <c r="J598">
        <v>14.2</v>
      </c>
      <c r="K598">
        <v>70</v>
      </c>
      <c r="P598" t="s">
        <v>88</v>
      </c>
    </row>
    <row r="599" spans="1:16" x14ac:dyDescent="0.3">
      <c r="A599">
        <v>2023</v>
      </c>
      <c r="B599">
        <v>12</v>
      </c>
      <c r="C599">
        <v>8</v>
      </c>
      <c r="D599" s="1">
        <v>160</v>
      </c>
      <c r="E599" s="1" t="s">
        <v>16</v>
      </c>
      <c r="F599">
        <v>202</v>
      </c>
      <c r="G599">
        <v>1</v>
      </c>
      <c r="J599">
        <v>12.9</v>
      </c>
      <c r="K599">
        <v>68</v>
      </c>
    </row>
    <row r="600" spans="1:16" x14ac:dyDescent="0.3">
      <c r="A600">
        <v>2023</v>
      </c>
      <c r="B600">
        <v>12</v>
      </c>
      <c r="C600">
        <v>9</v>
      </c>
      <c r="D600" s="1">
        <v>161</v>
      </c>
      <c r="E600" s="1" t="s">
        <v>16</v>
      </c>
      <c r="F600">
        <v>202</v>
      </c>
      <c r="G600">
        <v>1</v>
      </c>
      <c r="J600">
        <v>10.1</v>
      </c>
      <c r="K600">
        <v>63</v>
      </c>
    </row>
    <row r="601" spans="1:16" x14ac:dyDescent="0.3">
      <c r="A601">
        <v>2023</v>
      </c>
      <c r="B601">
        <v>12</v>
      </c>
      <c r="C601">
        <v>10</v>
      </c>
      <c r="D601" s="1">
        <v>162</v>
      </c>
      <c r="E601" s="1" t="s">
        <v>16</v>
      </c>
      <c r="F601">
        <v>202</v>
      </c>
      <c r="G601">
        <v>1</v>
      </c>
      <c r="J601">
        <v>8.5</v>
      </c>
      <c r="K601">
        <v>56</v>
      </c>
    </row>
    <row r="602" spans="1:16" x14ac:dyDescent="0.3">
      <c r="A602">
        <v>2023</v>
      </c>
      <c r="B602">
        <v>12</v>
      </c>
      <c r="C602">
        <v>11</v>
      </c>
      <c r="D602" s="1">
        <v>163</v>
      </c>
      <c r="E602" s="1" t="s">
        <v>16</v>
      </c>
      <c r="F602">
        <v>202</v>
      </c>
      <c r="G602">
        <v>1</v>
      </c>
      <c r="J602">
        <v>9.8000000000000007</v>
      </c>
      <c r="K602">
        <v>62</v>
      </c>
    </row>
    <row r="603" spans="1:16" x14ac:dyDescent="0.3">
      <c r="A603">
        <v>2023</v>
      </c>
      <c r="B603">
        <v>12</v>
      </c>
      <c r="C603">
        <v>12</v>
      </c>
      <c r="D603" s="1">
        <v>164</v>
      </c>
      <c r="E603" s="1" t="s">
        <v>16</v>
      </c>
      <c r="F603">
        <v>73</v>
      </c>
      <c r="G603">
        <v>1</v>
      </c>
      <c r="J603">
        <v>9.9</v>
      </c>
      <c r="K603">
        <v>70</v>
      </c>
    </row>
    <row r="604" spans="1:16" x14ac:dyDescent="0.3">
      <c r="A604">
        <v>2023</v>
      </c>
      <c r="B604">
        <v>12</v>
      </c>
      <c r="C604">
        <v>13</v>
      </c>
      <c r="D604" s="1">
        <v>165</v>
      </c>
      <c r="E604" s="1" t="s">
        <v>19</v>
      </c>
      <c r="F604">
        <v>202</v>
      </c>
      <c r="G604">
        <v>0</v>
      </c>
      <c r="H604" t="s">
        <v>89</v>
      </c>
    </row>
    <row r="605" spans="1:16" x14ac:dyDescent="0.3">
      <c r="A605">
        <v>2023</v>
      </c>
      <c r="B605">
        <v>12</v>
      </c>
      <c r="C605">
        <v>14</v>
      </c>
      <c r="D605" s="1">
        <v>166</v>
      </c>
      <c r="E605" s="1" t="s">
        <v>16</v>
      </c>
      <c r="F605">
        <v>202</v>
      </c>
      <c r="G605">
        <v>1</v>
      </c>
      <c r="J605">
        <v>7.2</v>
      </c>
      <c r="K605">
        <v>50</v>
      </c>
    </row>
    <row r="606" spans="1:16" x14ac:dyDescent="0.3">
      <c r="A606">
        <v>2023</v>
      </c>
      <c r="B606">
        <v>12</v>
      </c>
      <c r="C606">
        <v>15</v>
      </c>
      <c r="D606" s="1">
        <v>167</v>
      </c>
      <c r="E606" s="1" t="s">
        <v>16</v>
      </c>
      <c r="F606">
        <v>202</v>
      </c>
      <c r="G606">
        <v>1</v>
      </c>
      <c r="J606">
        <v>10.9</v>
      </c>
      <c r="K606">
        <v>69</v>
      </c>
    </row>
    <row r="607" spans="1:16" x14ac:dyDescent="0.3">
      <c r="A607">
        <v>2023</v>
      </c>
      <c r="B607">
        <v>12</v>
      </c>
      <c r="C607">
        <v>16</v>
      </c>
      <c r="D607" s="1">
        <v>168</v>
      </c>
      <c r="E607" s="1" t="s">
        <v>16</v>
      </c>
      <c r="F607">
        <v>202</v>
      </c>
      <c r="G607">
        <v>1</v>
      </c>
      <c r="J607">
        <v>9.8000000000000007</v>
      </c>
      <c r="K607">
        <v>59</v>
      </c>
    </row>
    <row r="608" spans="1:16" x14ac:dyDescent="0.3">
      <c r="A608">
        <v>2023</v>
      </c>
      <c r="B608">
        <v>12</v>
      </c>
      <c r="C608">
        <v>17</v>
      </c>
      <c r="D608" s="1">
        <v>169</v>
      </c>
      <c r="E608" s="1" t="s">
        <v>16</v>
      </c>
      <c r="F608">
        <v>202</v>
      </c>
      <c r="G608">
        <v>1</v>
      </c>
      <c r="J608">
        <v>6.7</v>
      </c>
      <c r="K608">
        <v>45</v>
      </c>
    </row>
    <row r="609" spans="1:16" x14ac:dyDescent="0.3">
      <c r="A609">
        <v>2023</v>
      </c>
      <c r="B609">
        <v>12</v>
      </c>
      <c r="C609">
        <v>18</v>
      </c>
      <c r="D609" s="1">
        <v>170</v>
      </c>
      <c r="E609" s="1" t="s">
        <v>16</v>
      </c>
      <c r="F609">
        <v>202</v>
      </c>
      <c r="G609">
        <v>1</v>
      </c>
      <c r="J609">
        <v>6.9</v>
      </c>
      <c r="K609">
        <v>48</v>
      </c>
    </row>
    <row r="610" spans="1:16" x14ac:dyDescent="0.3">
      <c r="A610">
        <v>2023</v>
      </c>
      <c r="B610">
        <v>12</v>
      </c>
      <c r="C610">
        <v>19</v>
      </c>
      <c r="D610" s="1">
        <v>171</v>
      </c>
      <c r="E610" s="1" t="s">
        <v>16</v>
      </c>
      <c r="F610">
        <v>202</v>
      </c>
      <c r="G610">
        <v>1</v>
      </c>
      <c r="J610">
        <v>9.1</v>
      </c>
      <c r="K610">
        <v>58</v>
      </c>
    </row>
    <row r="611" spans="1:16" x14ac:dyDescent="0.3">
      <c r="A611">
        <v>2023</v>
      </c>
      <c r="B611">
        <v>12</v>
      </c>
      <c r="C611">
        <v>20</v>
      </c>
      <c r="D611" s="1">
        <v>172</v>
      </c>
      <c r="E611" s="1" t="s">
        <v>24</v>
      </c>
      <c r="F611">
        <v>202</v>
      </c>
      <c r="G611">
        <v>0</v>
      </c>
      <c r="H611" t="s">
        <v>89</v>
      </c>
    </row>
    <row r="612" spans="1:16" x14ac:dyDescent="0.3">
      <c r="A612">
        <v>2023</v>
      </c>
      <c r="B612">
        <v>12</v>
      </c>
      <c r="C612">
        <v>21</v>
      </c>
      <c r="D612" s="1">
        <v>173</v>
      </c>
      <c r="E612" s="1" t="s">
        <v>19</v>
      </c>
      <c r="F612">
        <v>202</v>
      </c>
      <c r="G612">
        <v>0</v>
      </c>
      <c r="H612" t="s">
        <v>89</v>
      </c>
      <c r="P612" t="s">
        <v>90</v>
      </c>
    </row>
    <row r="613" spans="1:16" x14ac:dyDescent="0.3">
      <c r="A613">
        <v>2023</v>
      </c>
      <c r="B613">
        <v>12</v>
      </c>
      <c r="C613">
        <v>22</v>
      </c>
      <c r="D613" s="1">
        <v>174</v>
      </c>
      <c r="E613" s="1" t="s">
        <v>25</v>
      </c>
      <c r="F613">
        <v>202</v>
      </c>
      <c r="G613">
        <v>2</v>
      </c>
      <c r="I613">
        <v>2</v>
      </c>
      <c r="J613">
        <v>7.6</v>
      </c>
      <c r="K613">
        <v>55</v>
      </c>
      <c r="L613">
        <v>28</v>
      </c>
      <c r="M613" s="1">
        <v>39</v>
      </c>
      <c r="N613" s="1">
        <v>6</v>
      </c>
    </row>
    <row r="614" spans="1:16" x14ac:dyDescent="0.3">
      <c r="A614">
        <v>2023</v>
      </c>
      <c r="B614">
        <v>12</v>
      </c>
      <c r="C614">
        <v>23</v>
      </c>
      <c r="D614" s="1">
        <v>175</v>
      </c>
      <c r="E614" s="1" t="s">
        <v>16</v>
      </c>
      <c r="F614">
        <v>202</v>
      </c>
      <c r="G614">
        <v>1</v>
      </c>
      <c r="J614">
        <v>8</v>
      </c>
      <c r="K614">
        <v>57</v>
      </c>
    </row>
    <row r="615" spans="1:16" x14ac:dyDescent="0.3">
      <c r="A615">
        <v>2023</v>
      </c>
      <c r="B615">
        <v>12</v>
      </c>
      <c r="C615">
        <v>24</v>
      </c>
      <c r="D615" s="1">
        <v>176</v>
      </c>
      <c r="E615" s="1" t="s">
        <v>16</v>
      </c>
      <c r="F615">
        <v>202</v>
      </c>
      <c r="G615">
        <v>1</v>
      </c>
      <c r="J615">
        <v>6.9</v>
      </c>
      <c r="K615">
        <v>50</v>
      </c>
    </row>
    <row r="616" spans="1:16" x14ac:dyDescent="0.3">
      <c r="A616">
        <v>2023</v>
      </c>
      <c r="B616">
        <v>12</v>
      </c>
      <c r="C616">
        <v>25</v>
      </c>
      <c r="D616" s="1">
        <v>177</v>
      </c>
      <c r="E616" s="1" t="s">
        <v>25</v>
      </c>
      <c r="F616">
        <v>202</v>
      </c>
      <c r="G616">
        <v>2</v>
      </c>
      <c r="I616">
        <v>2</v>
      </c>
      <c r="J616">
        <v>7</v>
      </c>
      <c r="K616">
        <v>54</v>
      </c>
      <c r="L616">
        <v>20</v>
      </c>
      <c r="M616" s="1">
        <v>35</v>
      </c>
      <c r="N616" s="1">
        <v>5</v>
      </c>
    </row>
    <row r="617" spans="1:16" x14ac:dyDescent="0.3">
      <c r="A617">
        <v>2023</v>
      </c>
      <c r="B617">
        <v>12</v>
      </c>
      <c r="C617">
        <v>26</v>
      </c>
      <c r="D617" s="1">
        <v>178</v>
      </c>
      <c r="E617" s="1" t="s">
        <v>19</v>
      </c>
      <c r="F617">
        <v>202</v>
      </c>
      <c r="G617">
        <v>0</v>
      </c>
      <c r="H617" t="s">
        <v>89</v>
      </c>
      <c r="P617" t="s">
        <v>91</v>
      </c>
    </row>
    <row r="618" spans="1:16" x14ac:dyDescent="0.3">
      <c r="A618">
        <v>2023</v>
      </c>
      <c r="B618">
        <v>12</v>
      </c>
      <c r="C618">
        <v>27</v>
      </c>
      <c r="D618" s="1">
        <v>179</v>
      </c>
      <c r="E618" s="1" t="s">
        <v>19</v>
      </c>
      <c r="F618">
        <v>202</v>
      </c>
      <c r="G618">
        <v>0</v>
      </c>
      <c r="H618" t="s">
        <v>89</v>
      </c>
    </row>
    <row r="619" spans="1:16" x14ac:dyDescent="0.3">
      <c r="A619">
        <v>2023</v>
      </c>
      <c r="B619">
        <v>12</v>
      </c>
      <c r="C619">
        <v>28</v>
      </c>
      <c r="D619" s="1">
        <v>180</v>
      </c>
      <c r="E619" s="1" t="s">
        <v>16</v>
      </c>
      <c r="F619">
        <v>202</v>
      </c>
      <c r="G619">
        <v>1</v>
      </c>
      <c r="J619">
        <v>5.3</v>
      </c>
      <c r="K619">
        <v>33</v>
      </c>
    </row>
    <row r="620" spans="1:16" x14ac:dyDescent="0.3">
      <c r="A620">
        <v>2023</v>
      </c>
      <c r="B620">
        <v>12</v>
      </c>
      <c r="C620">
        <v>29</v>
      </c>
      <c r="D620" s="1">
        <v>181</v>
      </c>
      <c r="E620" s="1" t="s">
        <v>16</v>
      </c>
      <c r="F620">
        <v>202</v>
      </c>
      <c r="G620">
        <v>1</v>
      </c>
      <c r="J620">
        <v>8.6</v>
      </c>
      <c r="K620">
        <v>58</v>
      </c>
    </row>
    <row r="621" spans="1:16" x14ac:dyDescent="0.3">
      <c r="A621">
        <v>2023</v>
      </c>
      <c r="B621">
        <v>12</v>
      </c>
      <c r="C621">
        <v>30</v>
      </c>
      <c r="D621" s="1">
        <v>182</v>
      </c>
      <c r="E621" s="1" t="s">
        <v>19</v>
      </c>
      <c r="F621">
        <v>202</v>
      </c>
      <c r="G621">
        <v>0</v>
      </c>
      <c r="H621" t="s">
        <v>89</v>
      </c>
      <c r="P621" t="s">
        <v>90</v>
      </c>
    </row>
    <row r="622" spans="1:16" x14ac:dyDescent="0.3">
      <c r="A622">
        <v>2023</v>
      </c>
      <c r="B622">
        <v>12</v>
      </c>
      <c r="C622">
        <v>31</v>
      </c>
      <c r="D622" s="1">
        <v>183</v>
      </c>
      <c r="E622" s="1" t="s">
        <v>16</v>
      </c>
      <c r="F622">
        <v>202</v>
      </c>
      <c r="G622">
        <v>1</v>
      </c>
      <c r="J622">
        <v>12</v>
      </c>
      <c r="K622">
        <v>63</v>
      </c>
    </row>
    <row r="623" spans="1:16" x14ac:dyDescent="0.3">
      <c r="A623">
        <v>2023</v>
      </c>
      <c r="B623">
        <v>12</v>
      </c>
      <c r="C623">
        <v>32</v>
      </c>
      <c r="D623" s="1">
        <v>184</v>
      </c>
      <c r="E623" s="1" t="s">
        <v>16</v>
      </c>
      <c r="F623">
        <v>202</v>
      </c>
      <c r="G623">
        <v>1</v>
      </c>
      <c r="J623">
        <v>12.2</v>
      </c>
      <c r="K623">
        <v>64</v>
      </c>
    </row>
    <row r="624" spans="1:16" x14ac:dyDescent="0.3">
      <c r="A624">
        <v>2023</v>
      </c>
      <c r="B624">
        <v>12</v>
      </c>
      <c r="C624">
        <v>33</v>
      </c>
      <c r="D624" s="1">
        <v>185</v>
      </c>
      <c r="E624" s="1" t="s">
        <v>16</v>
      </c>
      <c r="F624">
        <v>202</v>
      </c>
      <c r="G624">
        <v>1</v>
      </c>
      <c r="J624">
        <v>8.4</v>
      </c>
      <c r="K624">
        <v>51</v>
      </c>
    </row>
    <row r="625" spans="1:16" x14ac:dyDescent="0.3">
      <c r="A625">
        <v>2023</v>
      </c>
      <c r="B625">
        <v>12</v>
      </c>
      <c r="C625">
        <v>34</v>
      </c>
      <c r="D625" s="1">
        <v>186</v>
      </c>
      <c r="E625" s="1" t="s">
        <v>16</v>
      </c>
      <c r="F625">
        <v>202</v>
      </c>
      <c r="G625">
        <v>1</v>
      </c>
      <c r="J625">
        <v>5.8</v>
      </c>
      <c r="K625">
        <v>44</v>
      </c>
    </row>
    <row r="626" spans="1:16" x14ac:dyDescent="0.3">
      <c r="A626">
        <v>2023</v>
      </c>
      <c r="B626">
        <v>12</v>
      </c>
      <c r="C626">
        <v>35</v>
      </c>
      <c r="D626" s="1">
        <v>187</v>
      </c>
      <c r="E626" s="1" t="s">
        <v>16</v>
      </c>
      <c r="F626">
        <v>202</v>
      </c>
      <c r="G626">
        <v>1</v>
      </c>
      <c r="J626">
        <v>13.7</v>
      </c>
      <c r="K626">
        <v>71</v>
      </c>
    </row>
    <row r="627" spans="1:16" x14ac:dyDescent="0.3">
      <c r="A627">
        <v>2023</v>
      </c>
      <c r="B627">
        <v>20</v>
      </c>
      <c r="C627">
        <v>1</v>
      </c>
      <c r="D627" s="1">
        <v>295</v>
      </c>
      <c r="E627" s="1" t="s">
        <v>16</v>
      </c>
      <c r="F627">
        <v>202</v>
      </c>
      <c r="G627">
        <v>1</v>
      </c>
      <c r="J627">
        <v>11.4</v>
      </c>
      <c r="K627">
        <v>70</v>
      </c>
      <c r="L627">
        <v>53</v>
      </c>
      <c r="M627" s="1">
        <v>56</v>
      </c>
      <c r="N627" s="1">
        <v>5</v>
      </c>
    </row>
    <row r="628" spans="1:16" x14ac:dyDescent="0.3">
      <c r="A628">
        <v>2023</v>
      </c>
      <c r="B628">
        <v>20</v>
      </c>
      <c r="C628">
        <v>2</v>
      </c>
      <c r="D628" s="1">
        <v>296</v>
      </c>
      <c r="E628" s="1" t="s">
        <v>16</v>
      </c>
      <c r="F628">
        <v>202</v>
      </c>
      <c r="G628">
        <v>1</v>
      </c>
      <c r="J628">
        <v>9.4</v>
      </c>
      <c r="K628">
        <v>67</v>
      </c>
    </row>
    <row r="629" spans="1:16" x14ac:dyDescent="0.3">
      <c r="A629">
        <v>2023</v>
      </c>
      <c r="B629">
        <v>20</v>
      </c>
      <c r="C629">
        <v>3</v>
      </c>
      <c r="D629" s="1">
        <v>297</v>
      </c>
      <c r="E629" s="1" t="s">
        <v>25</v>
      </c>
      <c r="F629">
        <v>73</v>
      </c>
      <c r="G629">
        <v>2</v>
      </c>
      <c r="I629">
        <v>1</v>
      </c>
      <c r="J629">
        <v>6.4</v>
      </c>
      <c r="K629">
        <v>48</v>
      </c>
    </row>
    <row r="630" spans="1:16" x14ac:dyDescent="0.3">
      <c r="A630">
        <v>2023</v>
      </c>
      <c r="B630">
        <v>20</v>
      </c>
      <c r="C630">
        <v>4</v>
      </c>
      <c r="D630" s="1">
        <v>298</v>
      </c>
      <c r="E630" s="1" t="s">
        <v>16</v>
      </c>
      <c r="F630">
        <v>202</v>
      </c>
      <c r="G630">
        <v>1</v>
      </c>
      <c r="J630">
        <v>20.2</v>
      </c>
      <c r="K630">
        <v>72</v>
      </c>
      <c r="O630">
        <v>2</v>
      </c>
    </row>
    <row r="631" spans="1:16" x14ac:dyDescent="0.3">
      <c r="A631">
        <v>2023</v>
      </c>
      <c r="B631">
        <v>20</v>
      </c>
      <c r="C631">
        <v>5</v>
      </c>
      <c r="D631" s="1">
        <v>299</v>
      </c>
      <c r="E631" s="1" t="s">
        <v>16</v>
      </c>
      <c r="F631">
        <v>73</v>
      </c>
      <c r="G631">
        <v>1</v>
      </c>
      <c r="J631">
        <v>6.2</v>
      </c>
      <c r="K631">
        <v>35</v>
      </c>
    </row>
    <row r="632" spans="1:16" x14ac:dyDescent="0.3">
      <c r="A632">
        <v>2023</v>
      </c>
      <c r="B632">
        <v>20</v>
      </c>
      <c r="C632">
        <v>6</v>
      </c>
      <c r="D632" s="1">
        <v>300</v>
      </c>
      <c r="E632" s="1" t="s">
        <v>16</v>
      </c>
      <c r="F632">
        <v>73</v>
      </c>
      <c r="G632">
        <v>1</v>
      </c>
      <c r="J632">
        <v>7.5</v>
      </c>
      <c r="K632">
        <v>72</v>
      </c>
    </row>
    <row r="633" spans="1:16" x14ac:dyDescent="0.3">
      <c r="A633">
        <v>2023</v>
      </c>
      <c r="B633">
        <v>20</v>
      </c>
      <c r="C633">
        <v>7</v>
      </c>
      <c r="D633" s="1">
        <v>301</v>
      </c>
      <c r="E633" s="1" t="s">
        <v>16</v>
      </c>
      <c r="F633">
        <v>73</v>
      </c>
      <c r="G633">
        <v>1</v>
      </c>
      <c r="J633">
        <v>6.2</v>
      </c>
      <c r="K633">
        <v>54</v>
      </c>
    </row>
    <row r="634" spans="1:16" x14ac:dyDescent="0.3">
      <c r="A634">
        <v>2023</v>
      </c>
      <c r="B634">
        <v>20</v>
      </c>
      <c r="C634">
        <v>8</v>
      </c>
      <c r="D634" s="1">
        <v>302</v>
      </c>
      <c r="E634" s="1" t="s">
        <v>16</v>
      </c>
      <c r="F634">
        <v>73</v>
      </c>
      <c r="G634">
        <v>1</v>
      </c>
      <c r="J634">
        <v>9</v>
      </c>
      <c r="K634">
        <v>77</v>
      </c>
    </row>
    <row r="635" spans="1:16" x14ac:dyDescent="0.3">
      <c r="A635">
        <v>2023</v>
      </c>
      <c r="B635">
        <v>20</v>
      </c>
      <c r="C635">
        <v>9</v>
      </c>
      <c r="D635" s="1">
        <v>303</v>
      </c>
      <c r="E635" s="1" t="s">
        <v>16</v>
      </c>
      <c r="F635">
        <v>202</v>
      </c>
      <c r="G635">
        <v>1</v>
      </c>
      <c r="J635">
        <v>11.3</v>
      </c>
      <c r="K635">
        <v>67</v>
      </c>
    </row>
    <row r="636" spans="1:16" x14ac:dyDescent="0.3">
      <c r="A636">
        <v>2023</v>
      </c>
      <c r="B636">
        <v>20</v>
      </c>
      <c r="C636">
        <v>10</v>
      </c>
      <c r="D636" s="1">
        <v>304</v>
      </c>
      <c r="E636" s="1" t="s">
        <v>16</v>
      </c>
      <c r="F636">
        <v>202</v>
      </c>
      <c r="G636">
        <v>1</v>
      </c>
      <c r="J636">
        <v>9.5</v>
      </c>
      <c r="K636">
        <v>47</v>
      </c>
      <c r="P636" t="s">
        <v>92</v>
      </c>
    </row>
    <row r="637" spans="1:16" x14ac:dyDescent="0.3">
      <c r="A637">
        <v>2023</v>
      </c>
      <c r="B637">
        <v>20</v>
      </c>
      <c r="C637">
        <v>11</v>
      </c>
      <c r="D637" s="1">
        <v>305</v>
      </c>
      <c r="E637" s="1" t="s">
        <v>16</v>
      </c>
      <c r="F637">
        <v>73</v>
      </c>
      <c r="G637">
        <v>1</v>
      </c>
      <c r="J637">
        <v>9.1</v>
      </c>
      <c r="K637">
        <v>67</v>
      </c>
    </row>
    <row r="638" spans="1:16" x14ac:dyDescent="0.3">
      <c r="A638">
        <v>2023</v>
      </c>
      <c r="B638">
        <v>20</v>
      </c>
      <c r="C638">
        <v>12</v>
      </c>
      <c r="D638" s="1">
        <v>306</v>
      </c>
      <c r="E638" s="1" t="s">
        <v>16</v>
      </c>
      <c r="F638">
        <v>202</v>
      </c>
      <c r="G638">
        <v>1</v>
      </c>
      <c r="J638">
        <v>11.9</v>
      </c>
      <c r="K638">
        <v>61</v>
      </c>
    </row>
    <row r="639" spans="1:16" x14ac:dyDescent="0.3">
      <c r="A639">
        <v>2023</v>
      </c>
      <c r="B639">
        <v>20</v>
      </c>
      <c r="C639">
        <v>13</v>
      </c>
      <c r="D639" s="1">
        <v>307</v>
      </c>
      <c r="E639" s="1" t="s">
        <v>16</v>
      </c>
      <c r="F639">
        <v>73</v>
      </c>
      <c r="G639">
        <v>1</v>
      </c>
      <c r="J639">
        <v>7.3</v>
      </c>
      <c r="K639">
        <v>58</v>
      </c>
    </row>
    <row r="640" spans="1:16" x14ac:dyDescent="0.3">
      <c r="A640">
        <v>2023</v>
      </c>
      <c r="B640">
        <v>20</v>
      </c>
      <c r="C640">
        <v>14</v>
      </c>
      <c r="D640" s="1">
        <v>308</v>
      </c>
      <c r="E640" s="1" t="s">
        <v>16</v>
      </c>
      <c r="F640">
        <v>202</v>
      </c>
      <c r="G640">
        <v>1</v>
      </c>
      <c r="J640">
        <v>7.9</v>
      </c>
      <c r="K640">
        <v>55</v>
      </c>
    </row>
    <row r="641" spans="1:11" x14ac:dyDescent="0.3">
      <c r="A641">
        <v>2023</v>
      </c>
      <c r="B641">
        <v>20</v>
      </c>
      <c r="C641">
        <v>15</v>
      </c>
      <c r="D641" s="1">
        <v>309</v>
      </c>
      <c r="E641" s="1" t="s">
        <v>16</v>
      </c>
      <c r="F641">
        <v>202</v>
      </c>
      <c r="G641">
        <v>1</v>
      </c>
      <c r="J641">
        <v>13</v>
      </c>
      <c r="K641">
        <v>78</v>
      </c>
    </row>
    <row r="642" spans="1:11" x14ac:dyDescent="0.3">
      <c r="A642">
        <v>2023</v>
      </c>
      <c r="B642">
        <v>20</v>
      </c>
      <c r="C642">
        <v>16</v>
      </c>
      <c r="D642" s="1">
        <v>310</v>
      </c>
      <c r="E642" s="1" t="s">
        <v>16</v>
      </c>
      <c r="F642">
        <v>202</v>
      </c>
      <c r="G642">
        <v>1</v>
      </c>
      <c r="J642">
        <v>13.8</v>
      </c>
      <c r="K642">
        <v>78</v>
      </c>
    </row>
    <row r="643" spans="1:11" x14ac:dyDescent="0.3">
      <c r="A643">
        <v>2023</v>
      </c>
      <c r="B643">
        <v>20</v>
      </c>
      <c r="C643">
        <v>17</v>
      </c>
      <c r="D643" s="1">
        <v>311</v>
      </c>
      <c r="E643" s="1" t="s">
        <v>16</v>
      </c>
      <c r="F643">
        <v>202</v>
      </c>
      <c r="G643">
        <v>1</v>
      </c>
      <c r="J643">
        <v>17.899999999999999</v>
      </c>
      <c r="K643">
        <v>88</v>
      </c>
    </row>
    <row r="644" spans="1:11" x14ac:dyDescent="0.3">
      <c r="A644">
        <v>2023</v>
      </c>
      <c r="B644">
        <v>20</v>
      </c>
      <c r="C644">
        <v>18</v>
      </c>
      <c r="D644" s="1">
        <v>312</v>
      </c>
      <c r="E644" s="1" t="s">
        <v>16</v>
      </c>
      <c r="F644">
        <v>202</v>
      </c>
      <c r="G644">
        <v>1</v>
      </c>
      <c r="J644">
        <v>6.7</v>
      </c>
      <c r="K644">
        <v>37</v>
      </c>
    </row>
    <row r="645" spans="1:11" x14ac:dyDescent="0.3">
      <c r="A645">
        <v>2023</v>
      </c>
      <c r="B645">
        <v>20</v>
      </c>
      <c r="C645">
        <v>19</v>
      </c>
      <c r="D645" s="1">
        <v>313</v>
      </c>
      <c r="E645" s="1" t="s">
        <v>16</v>
      </c>
      <c r="F645">
        <v>73</v>
      </c>
      <c r="G645">
        <v>1</v>
      </c>
      <c r="J645">
        <v>10.199999999999999</v>
      </c>
      <c r="K645">
        <v>83</v>
      </c>
    </row>
    <row r="646" spans="1:11" x14ac:dyDescent="0.3">
      <c r="A646">
        <v>2023</v>
      </c>
      <c r="B646">
        <v>20</v>
      </c>
      <c r="C646">
        <v>20</v>
      </c>
      <c r="D646" s="1">
        <v>314</v>
      </c>
      <c r="E646" s="1" t="s">
        <v>16</v>
      </c>
      <c r="F646">
        <v>202</v>
      </c>
      <c r="G646">
        <v>1</v>
      </c>
      <c r="J646">
        <v>8.8000000000000007</v>
      </c>
      <c r="K646">
        <v>55</v>
      </c>
    </row>
    <row r="647" spans="1:11" x14ac:dyDescent="0.3">
      <c r="A647">
        <v>2023</v>
      </c>
      <c r="B647">
        <v>20</v>
      </c>
      <c r="C647">
        <v>21</v>
      </c>
      <c r="D647" s="1">
        <v>315</v>
      </c>
      <c r="E647" s="1" t="s">
        <v>16</v>
      </c>
      <c r="F647">
        <v>202</v>
      </c>
      <c r="G647">
        <v>1</v>
      </c>
      <c r="J647">
        <v>20.5</v>
      </c>
      <c r="K647">
        <v>74</v>
      </c>
    </row>
    <row r="648" spans="1:11" x14ac:dyDescent="0.3">
      <c r="A648">
        <v>2023</v>
      </c>
      <c r="B648">
        <v>20</v>
      </c>
      <c r="C648">
        <v>22</v>
      </c>
      <c r="D648" s="1">
        <v>316</v>
      </c>
      <c r="E648" s="1" t="s">
        <v>34</v>
      </c>
      <c r="F648">
        <v>73</v>
      </c>
      <c r="G648">
        <v>2</v>
      </c>
      <c r="I648">
        <v>2</v>
      </c>
      <c r="J648">
        <v>5.0999999999999996</v>
      </c>
      <c r="K648">
        <v>35</v>
      </c>
    </row>
    <row r="649" spans="1:11" x14ac:dyDescent="0.3">
      <c r="A649">
        <v>2023</v>
      </c>
      <c r="B649">
        <v>20</v>
      </c>
      <c r="C649">
        <v>23</v>
      </c>
      <c r="D649" s="1">
        <v>317</v>
      </c>
      <c r="E649" s="1" t="s">
        <v>34</v>
      </c>
      <c r="F649">
        <v>73</v>
      </c>
      <c r="G649">
        <v>2</v>
      </c>
      <c r="I649">
        <v>2</v>
      </c>
      <c r="J649">
        <v>5.7</v>
      </c>
      <c r="K649">
        <v>41</v>
      </c>
    </row>
    <row r="650" spans="1:11" x14ac:dyDescent="0.3">
      <c r="A650">
        <v>2023</v>
      </c>
      <c r="B650">
        <v>20</v>
      </c>
      <c r="C650">
        <v>24</v>
      </c>
      <c r="D650" s="1">
        <v>318</v>
      </c>
      <c r="E650" s="1" t="s">
        <v>16</v>
      </c>
      <c r="F650">
        <v>202</v>
      </c>
      <c r="G650">
        <v>1</v>
      </c>
      <c r="J650">
        <v>12.3</v>
      </c>
      <c r="K650">
        <v>82</v>
      </c>
    </row>
    <row r="651" spans="1:11" x14ac:dyDescent="0.3">
      <c r="A651">
        <v>2023</v>
      </c>
      <c r="B651">
        <v>20</v>
      </c>
      <c r="C651">
        <v>25</v>
      </c>
      <c r="D651" s="1">
        <v>319</v>
      </c>
      <c r="E651" s="1" t="s">
        <v>16</v>
      </c>
      <c r="F651">
        <v>202</v>
      </c>
      <c r="G651">
        <v>1</v>
      </c>
      <c r="J651">
        <v>14.5</v>
      </c>
      <c r="K651">
        <v>85</v>
      </c>
    </row>
    <row r="652" spans="1:11" x14ac:dyDescent="0.3">
      <c r="A652">
        <v>2023</v>
      </c>
      <c r="B652">
        <v>20</v>
      </c>
      <c r="C652">
        <v>26</v>
      </c>
      <c r="D652" s="1">
        <v>320</v>
      </c>
      <c r="E652" s="1" t="s">
        <v>16</v>
      </c>
      <c r="F652">
        <v>73</v>
      </c>
      <c r="G652">
        <v>1</v>
      </c>
      <c r="J652">
        <v>10.5</v>
      </c>
      <c r="K652">
        <v>74</v>
      </c>
    </row>
    <row r="653" spans="1:11" x14ac:dyDescent="0.3">
      <c r="A653">
        <v>2023</v>
      </c>
      <c r="B653">
        <v>20</v>
      </c>
      <c r="C653">
        <v>27</v>
      </c>
      <c r="D653" s="1">
        <v>321</v>
      </c>
      <c r="E653" s="1" t="s">
        <v>25</v>
      </c>
      <c r="F653">
        <v>202</v>
      </c>
      <c r="G653">
        <v>2</v>
      </c>
      <c r="I653">
        <v>1</v>
      </c>
      <c r="J653">
        <v>5.7</v>
      </c>
      <c r="K653">
        <v>27</v>
      </c>
    </row>
    <row r="654" spans="1:11" x14ac:dyDescent="0.3">
      <c r="A654">
        <v>2023</v>
      </c>
      <c r="B654">
        <v>28</v>
      </c>
      <c r="C654">
        <v>1</v>
      </c>
      <c r="D654" s="1">
        <v>441</v>
      </c>
      <c r="E654" s="1" t="s">
        <v>16</v>
      </c>
      <c r="F654">
        <v>73</v>
      </c>
      <c r="G654">
        <v>1</v>
      </c>
      <c r="J654">
        <v>9.4</v>
      </c>
      <c r="K654">
        <v>65</v>
      </c>
    </row>
    <row r="655" spans="1:11" x14ac:dyDescent="0.3">
      <c r="A655">
        <v>2023</v>
      </c>
      <c r="B655">
        <v>28</v>
      </c>
      <c r="C655">
        <v>2</v>
      </c>
      <c r="D655" s="1">
        <v>442</v>
      </c>
      <c r="E655" s="1" t="s">
        <v>35</v>
      </c>
      <c r="F655">
        <v>73</v>
      </c>
      <c r="G655">
        <v>3</v>
      </c>
    </row>
    <row r="656" spans="1:11" x14ac:dyDescent="0.3">
      <c r="A656">
        <v>2023</v>
      </c>
      <c r="B656">
        <v>28</v>
      </c>
      <c r="C656">
        <v>3</v>
      </c>
      <c r="D656" s="1">
        <v>443</v>
      </c>
      <c r="E656" s="1" t="s">
        <v>35</v>
      </c>
      <c r="F656">
        <v>73</v>
      </c>
      <c r="G656">
        <v>3</v>
      </c>
    </row>
    <row r="657" spans="1:11" x14ac:dyDescent="0.3">
      <c r="A657">
        <v>2023</v>
      </c>
      <c r="B657">
        <v>28</v>
      </c>
      <c r="C657">
        <v>4</v>
      </c>
      <c r="D657" s="1">
        <v>444</v>
      </c>
      <c r="E657" s="1" t="s">
        <v>35</v>
      </c>
      <c r="F657">
        <v>73</v>
      </c>
      <c r="G657">
        <v>3</v>
      </c>
    </row>
    <row r="658" spans="1:11" x14ac:dyDescent="0.3">
      <c r="A658">
        <v>2023</v>
      </c>
      <c r="B658">
        <v>28</v>
      </c>
      <c r="C658">
        <v>5</v>
      </c>
      <c r="D658" s="1">
        <v>445</v>
      </c>
      <c r="E658" s="1" t="s">
        <v>35</v>
      </c>
      <c r="F658">
        <v>202</v>
      </c>
      <c r="G658">
        <v>3</v>
      </c>
    </row>
    <row r="659" spans="1:11" x14ac:dyDescent="0.3">
      <c r="A659">
        <v>2023</v>
      </c>
      <c r="B659">
        <v>28</v>
      </c>
      <c r="C659">
        <v>6</v>
      </c>
      <c r="D659" s="1">
        <v>446</v>
      </c>
      <c r="E659" s="1" t="s">
        <v>35</v>
      </c>
      <c r="F659">
        <v>73</v>
      </c>
      <c r="G659">
        <v>3</v>
      </c>
    </row>
    <row r="660" spans="1:11" x14ac:dyDescent="0.3">
      <c r="A660">
        <v>2023</v>
      </c>
      <c r="B660">
        <v>28</v>
      </c>
      <c r="C660">
        <v>7</v>
      </c>
      <c r="D660" s="1">
        <v>447</v>
      </c>
      <c r="E660" s="1" t="s">
        <v>16</v>
      </c>
      <c r="F660">
        <v>73</v>
      </c>
      <c r="G660">
        <v>1</v>
      </c>
      <c r="J660">
        <v>5.4</v>
      </c>
      <c r="K660">
        <v>51</v>
      </c>
    </row>
    <row r="661" spans="1:11" x14ac:dyDescent="0.3">
      <c r="A661">
        <v>2023</v>
      </c>
      <c r="B661">
        <v>28</v>
      </c>
      <c r="C661">
        <v>8</v>
      </c>
      <c r="D661" s="1">
        <v>448</v>
      </c>
      <c r="E661" s="1" t="s">
        <v>35</v>
      </c>
      <c r="F661">
        <v>73</v>
      </c>
      <c r="G661">
        <v>3</v>
      </c>
    </row>
    <row r="662" spans="1:11" x14ac:dyDescent="0.3">
      <c r="A662">
        <v>2023</v>
      </c>
      <c r="B662">
        <v>28</v>
      </c>
      <c r="C662">
        <v>9</v>
      </c>
      <c r="D662" s="1">
        <v>449</v>
      </c>
      <c r="E662" s="1" t="s">
        <v>16</v>
      </c>
      <c r="F662">
        <v>73</v>
      </c>
      <c r="G662">
        <v>1</v>
      </c>
      <c r="J662">
        <v>8.9</v>
      </c>
      <c r="K662">
        <v>65</v>
      </c>
    </row>
    <row r="663" spans="1:11" x14ac:dyDescent="0.3">
      <c r="A663">
        <v>2023</v>
      </c>
      <c r="B663">
        <v>28</v>
      </c>
      <c r="C663">
        <v>10</v>
      </c>
      <c r="D663" s="1">
        <v>450</v>
      </c>
      <c r="E663" s="1" t="s">
        <v>16</v>
      </c>
      <c r="F663">
        <v>73</v>
      </c>
      <c r="G663">
        <v>1</v>
      </c>
      <c r="J663">
        <v>11.1</v>
      </c>
      <c r="K663">
        <v>70</v>
      </c>
    </row>
    <row r="664" spans="1:11" x14ac:dyDescent="0.3">
      <c r="A664">
        <v>2023</v>
      </c>
      <c r="B664">
        <v>28</v>
      </c>
      <c r="C664">
        <v>11</v>
      </c>
      <c r="D664" s="1">
        <v>451</v>
      </c>
      <c r="E664" s="1" t="s">
        <v>16</v>
      </c>
      <c r="F664">
        <v>73</v>
      </c>
      <c r="G664">
        <v>1</v>
      </c>
      <c r="J664">
        <v>10</v>
      </c>
      <c r="K664">
        <v>69</v>
      </c>
    </row>
    <row r="665" spans="1:11" x14ac:dyDescent="0.3">
      <c r="A665">
        <v>2023</v>
      </c>
      <c r="B665">
        <v>28</v>
      </c>
      <c r="C665">
        <v>12</v>
      </c>
      <c r="D665" s="1">
        <v>452</v>
      </c>
      <c r="E665" s="1" t="s">
        <v>16</v>
      </c>
      <c r="F665">
        <v>73</v>
      </c>
      <c r="G665">
        <v>1</v>
      </c>
      <c r="J665">
        <v>10.5</v>
      </c>
      <c r="K665">
        <v>67</v>
      </c>
    </row>
    <row r="666" spans="1:11" x14ac:dyDescent="0.3">
      <c r="A666">
        <v>2023</v>
      </c>
      <c r="B666">
        <v>28</v>
      </c>
      <c r="C666">
        <v>13</v>
      </c>
      <c r="D666" s="1">
        <v>453</v>
      </c>
      <c r="E666" s="1" t="s">
        <v>35</v>
      </c>
      <c r="F666">
        <v>73</v>
      </c>
      <c r="G666">
        <v>3</v>
      </c>
    </row>
    <row r="667" spans="1:11" x14ac:dyDescent="0.3">
      <c r="A667">
        <v>2023</v>
      </c>
      <c r="B667">
        <v>28</v>
      </c>
      <c r="C667">
        <v>14</v>
      </c>
      <c r="D667" s="1">
        <v>454</v>
      </c>
      <c r="E667" s="1" t="s">
        <v>35</v>
      </c>
      <c r="F667">
        <v>73</v>
      </c>
      <c r="G667">
        <v>3</v>
      </c>
    </row>
    <row r="668" spans="1:11" x14ac:dyDescent="0.3">
      <c r="A668">
        <v>2023</v>
      </c>
      <c r="B668">
        <v>28</v>
      </c>
      <c r="C668">
        <v>15</v>
      </c>
      <c r="D668" s="1">
        <v>455</v>
      </c>
      <c r="E668" s="1" t="s">
        <v>16</v>
      </c>
      <c r="F668">
        <v>73</v>
      </c>
      <c r="G668">
        <v>1</v>
      </c>
      <c r="J668">
        <v>7.8</v>
      </c>
      <c r="K668">
        <v>48</v>
      </c>
    </row>
    <row r="669" spans="1:11" x14ac:dyDescent="0.3">
      <c r="A669">
        <v>2023</v>
      </c>
      <c r="B669">
        <v>28</v>
      </c>
      <c r="C669">
        <v>16</v>
      </c>
      <c r="D669" s="1">
        <v>456</v>
      </c>
      <c r="E669" s="1" t="s">
        <v>16</v>
      </c>
      <c r="F669">
        <v>73</v>
      </c>
      <c r="G669">
        <v>1</v>
      </c>
      <c r="J669">
        <v>10.6</v>
      </c>
      <c r="K669">
        <v>64</v>
      </c>
    </row>
    <row r="670" spans="1:11" x14ac:dyDescent="0.3">
      <c r="A670">
        <v>2023</v>
      </c>
      <c r="B670">
        <v>28</v>
      </c>
      <c r="C670">
        <v>17</v>
      </c>
      <c r="D670" s="1">
        <v>457</v>
      </c>
      <c r="E670" s="1" t="s">
        <v>16</v>
      </c>
      <c r="F670">
        <v>73</v>
      </c>
      <c r="G670">
        <v>1</v>
      </c>
      <c r="J670">
        <v>7.6</v>
      </c>
      <c r="K670">
        <v>51</v>
      </c>
    </row>
    <row r="671" spans="1:11" x14ac:dyDescent="0.3">
      <c r="A671">
        <v>2023</v>
      </c>
      <c r="B671">
        <v>28</v>
      </c>
      <c r="C671">
        <v>18</v>
      </c>
      <c r="D671" s="1">
        <v>458</v>
      </c>
      <c r="E671" s="1" t="s">
        <v>35</v>
      </c>
      <c r="F671">
        <v>202</v>
      </c>
      <c r="G671">
        <v>3</v>
      </c>
    </row>
    <row r="672" spans="1:11" x14ac:dyDescent="0.3">
      <c r="A672">
        <v>2023</v>
      </c>
      <c r="B672">
        <v>28</v>
      </c>
      <c r="C672">
        <v>19</v>
      </c>
      <c r="D672" s="1">
        <v>459</v>
      </c>
      <c r="E672" s="1" t="s">
        <v>16</v>
      </c>
      <c r="F672">
        <v>202</v>
      </c>
      <c r="G672">
        <v>1</v>
      </c>
      <c r="J672">
        <v>11.4</v>
      </c>
      <c r="K672">
        <v>54</v>
      </c>
    </row>
    <row r="673" spans="1:16" x14ac:dyDescent="0.3">
      <c r="A673">
        <v>2023</v>
      </c>
      <c r="B673">
        <v>28</v>
      </c>
      <c r="C673">
        <v>20</v>
      </c>
      <c r="D673" s="1">
        <v>460</v>
      </c>
      <c r="E673" s="1" t="s">
        <v>16</v>
      </c>
      <c r="F673">
        <v>73</v>
      </c>
      <c r="G673">
        <v>1</v>
      </c>
      <c r="J673">
        <v>12.9</v>
      </c>
      <c r="K673">
        <v>69</v>
      </c>
    </row>
    <row r="674" spans="1:16" x14ac:dyDescent="0.3">
      <c r="A674">
        <v>2023</v>
      </c>
      <c r="B674">
        <v>28</v>
      </c>
      <c r="C674">
        <v>21</v>
      </c>
      <c r="D674" s="1">
        <v>461</v>
      </c>
      <c r="E674" s="1" t="s">
        <v>16</v>
      </c>
      <c r="F674">
        <v>202</v>
      </c>
      <c r="G674">
        <v>1</v>
      </c>
      <c r="J674">
        <v>16.100000000000001</v>
      </c>
      <c r="K674">
        <v>73</v>
      </c>
    </row>
    <row r="675" spans="1:16" x14ac:dyDescent="0.3">
      <c r="A675">
        <v>2023</v>
      </c>
      <c r="B675">
        <v>28</v>
      </c>
      <c r="C675">
        <v>22</v>
      </c>
      <c r="D675" s="1">
        <v>462</v>
      </c>
      <c r="E675" s="1" t="s">
        <v>16</v>
      </c>
      <c r="F675">
        <v>73</v>
      </c>
      <c r="G675">
        <v>1</v>
      </c>
      <c r="J675">
        <v>4.5</v>
      </c>
    </row>
    <row r="676" spans="1:16" x14ac:dyDescent="0.3">
      <c r="A676">
        <v>2023</v>
      </c>
      <c r="B676">
        <v>28</v>
      </c>
      <c r="C676">
        <v>23</v>
      </c>
      <c r="D676" s="1">
        <v>463</v>
      </c>
      <c r="E676" s="1" t="s">
        <v>36</v>
      </c>
      <c r="F676">
        <v>202</v>
      </c>
      <c r="G676">
        <v>0</v>
      </c>
      <c r="H676" t="s">
        <v>93</v>
      </c>
      <c r="P676" t="s">
        <v>94</v>
      </c>
    </row>
    <row r="677" spans="1:16" x14ac:dyDescent="0.3">
      <c r="A677">
        <v>2023</v>
      </c>
      <c r="B677">
        <v>38</v>
      </c>
      <c r="C677">
        <v>1</v>
      </c>
      <c r="D677" s="1">
        <v>557</v>
      </c>
      <c r="E677" s="1" t="s">
        <v>16</v>
      </c>
      <c r="F677">
        <v>202</v>
      </c>
      <c r="G677">
        <v>1</v>
      </c>
      <c r="J677">
        <v>21.6</v>
      </c>
      <c r="K677">
        <v>82</v>
      </c>
    </row>
    <row r="678" spans="1:16" x14ac:dyDescent="0.3">
      <c r="A678">
        <v>2023</v>
      </c>
      <c r="B678">
        <v>38</v>
      </c>
      <c r="C678">
        <v>2</v>
      </c>
      <c r="D678" s="1">
        <v>558</v>
      </c>
      <c r="E678" s="1" t="s">
        <v>16</v>
      </c>
      <c r="F678">
        <v>122</v>
      </c>
      <c r="G678">
        <v>1</v>
      </c>
      <c r="J678">
        <v>20.3</v>
      </c>
      <c r="K678">
        <v>79</v>
      </c>
    </row>
    <row r="679" spans="1:16" x14ac:dyDescent="0.3">
      <c r="A679">
        <v>2023</v>
      </c>
      <c r="B679">
        <v>38</v>
      </c>
      <c r="C679">
        <v>3</v>
      </c>
      <c r="D679" s="1">
        <v>559</v>
      </c>
      <c r="E679" s="1" t="s">
        <v>16</v>
      </c>
      <c r="F679">
        <v>202</v>
      </c>
      <c r="G679">
        <v>1</v>
      </c>
      <c r="J679">
        <v>7.8</v>
      </c>
      <c r="K679">
        <v>45</v>
      </c>
    </row>
    <row r="680" spans="1:16" x14ac:dyDescent="0.3">
      <c r="A680">
        <v>2023</v>
      </c>
      <c r="B680">
        <v>38</v>
      </c>
      <c r="C680">
        <v>4</v>
      </c>
      <c r="D680" s="1">
        <v>560</v>
      </c>
      <c r="E680" s="1" t="s">
        <v>16</v>
      </c>
      <c r="F680">
        <v>202</v>
      </c>
      <c r="G680">
        <v>1</v>
      </c>
      <c r="J680">
        <v>9.5</v>
      </c>
      <c r="K680">
        <v>45</v>
      </c>
    </row>
    <row r="681" spans="1:16" x14ac:dyDescent="0.3">
      <c r="A681">
        <v>2023</v>
      </c>
      <c r="B681">
        <v>38</v>
      </c>
      <c r="C681">
        <v>5</v>
      </c>
      <c r="D681" s="1">
        <v>561</v>
      </c>
      <c r="E681" s="1" t="s">
        <v>16</v>
      </c>
      <c r="F681">
        <v>122</v>
      </c>
      <c r="G681">
        <v>1</v>
      </c>
      <c r="J681">
        <v>20.7</v>
      </c>
      <c r="K681">
        <v>84</v>
      </c>
    </row>
    <row r="682" spans="1:16" x14ac:dyDescent="0.3">
      <c r="A682">
        <v>2023</v>
      </c>
      <c r="B682">
        <v>38</v>
      </c>
      <c r="C682">
        <v>6</v>
      </c>
      <c r="D682" s="1">
        <v>562</v>
      </c>
      <c r="E682" s="1" t="s">
        <v>24</v>
      </c>
      <c r="F682">
        <v>108</v>
      </c>
      <c r="G682">
        <v>0</v>
      </c>
      <c r="H682" t="s">
        <v>89</v>
      </c>
    </row>
    <row r="683" spans="1:16" x14ac:dyDescent="0.3">
      <c r="A683">
        <v>2023</v>
      </c>
      <c r="B683">
        <v>38</v>
      </c>
      <c r="C683">
        <v>7</v>
      </c>
      <c r="D683" s="1">
        <v>563</v>
      </c>
      <c r="E683" s="1" t="s">
        <v>16</v>
      </c>
      <c r="F683">
        <v>202</v>
      </c>
      <c r="G683">
        <v>1</v>
      </c>
      <c r="J683">
        <v>12.4</v>
      </c>
      <c r="K683">
        <v>70</v>
      </c>
    </row>
    <row r="684" spans="1:16" x14ac:dyDescent="0.3">
      <c r="A684">
        <v>2023</v>
      </c>
      <c r="B684">
        <v>38</v>
      </c>
      <c r="C684">
        <v>8</v>
      </c>
      <c r="D684" s="1">
        <v>564</v>
      </c>
      <c r="E684" s="1" t="s">
        <v>16</v>
      </c>
      <c r="F684">
        <v>202</v>
      </c>
      <c r="G684">
        <v>1</v>
      </c>
      <c r="J684">
        <v>22.8</v>
      </c>
      <c r="K684">
        <v>85</v>
      </c>
    </row>
    <row r="685" spans="1:16" x14ac:dyDescent="0.3">
      <c r="A685">
        <v>2023</v>
      </c>
      <c r="B685">
        <v>38</v>
      </c>
      <c r="C685">
        <v>9</v>
      </c>
      <c r="D685" s="1">
        <v>565</v>
      </c>
      <c r="E685" s="1" t="s">
        <v>16</v>
      </c>
      <c r="F685">
        <v>202</v>
      </c>
      <c r="G685">
        <v>1</v>
      </c>
      <c r="J685">
        <v>17.600000000000001</v>
      </c>
      <c r="K685">
        <v>82</v>
      </c>
    </row>
    <row r="686" spans="1:16" x14ac:dyDescent="0.3">
      <c r="A686">
        <v>2023</v>
      </c>
      <c r="B686">
        <v>42</v>
      </c>
      <c r="C686">
        <v>1</v>
      </c>
      <c r="D686" s="1">
        <v>576</v>
      </c>
      <c r="E686" s="1" t="s">
        <v>16</v>
      </c>
      <c r="F686">
        <v>202</v>
      </c>
      <c r="G686">
        <v>1</v>
      </c>
      <c r="J686">
        <v>8.4</v>
      </c>
      <c r="K686">
        <v>38</v>
      </c>
    </row>
    <row r="687" spans="1:16" x14ac:dyDescent="0.3">
      <c r="A687">
        <v>2023</v>
      </c>
      <c r="B687">
        <v>57</v>
      </c>
      <c r="C687">
        <v>1</v>
      </c>
      <c r="D687" s="1">
        <v>722</v>
      </c>
      <c r="E687" s="1" t="s">
        <v>16</v>
      </c>
      <c r="F687">
        <v>202</v>
      </c>
      <c r="G687">
        <v>1</v>
      </c>
      <c r="J687">
        <v>14</v>
      </c>
      <c r="K687">
        <v>75</v>
      </c>
    </row>
    <row r="688" spans="1:16" x14ac:dyDescent="0.3">
      <c r="A688">
        <v>2023</v>
      </c>
      <c r="B688">
        <v>57</v>
      </c>
      <c r="C688">
        <v>2</v>
      </c>
      <c r="D688" s="1">
        <v>723</v>
      </c>
      <c r="E688" s="1" t="s">
        <v>16</v>
      </c>
      <c r="F688">
        <v>122</v>
      </c>
      <c r="G688">
        <v>1</v>
      </c>
      <c r="J688">
        <v>14.7</v>
      </c>
      <c r="K688">
        <v>77</v>
      </c>
      <c r="P688" t="s">
        <v>95</v>
      </c>
    </row>
    <row r="689" spans="1:11" x14ac:dyDescent="0.3">
      <c r="A689">
        <v>2023</v>
      </c>
      <c r="B689">
        <v>57</v>
      </c>
      <c r="C689">
        <v>3</v>
      </c>
      <c r="D689" s="1">
        <v>724</v>
      </c>
      <c r="E689" s="1" t="s">
        <v>16</v>
      </c>
      <c r="F689">
        <v>122</v>
      </c>
      <c r="G689">
        <v>1</v>
      </c>
      <c r="J689">
        <v>11.6</v>
      </c>
      <c r="K689">
        <v>73</v>
      </c>
    </row>
    <row r="690" spans="1:11" x14ac:dyDescent="0.3">
      <c r="A690">
        <v>2023</v>
      </c>
      <c r="B690">
        <v>57</v>
      </c>
      <c r="C690">
        <v>4</v>
      </c>
      <c r="D690" s="1">
        <v>725</v>
      </c>
      <c r="E690" s="1" t="s">
        <v>16</v>
      </c>
      <c r="F690">
        <v>122</v>
      </c>
      <c r="G690">
        <v>1</v>
      </c>
      <c r="J690">
        <v>14</v>
      </c>
      <c r="K690">
        <v>78</v>
      </c>
    </row>
    <row r="691" spans="1:11" x14ac:dyDescent="0.3">
      <c r="A691">
        <v>2023</v>
      </c>
      <c r="B691">
        <v>57</v>
      </c>
      <c r="C691">
        <v>5</v>
      </c>
      <c r="D691" s="1">
        <v>726</v>
      </c>
      <c r="E691" s="1" t="s">
        <v>16</v>
      </c>
      <c r="F691">
        <v>122</v>
      </c>
      <c r="G691">
        <v>1</v>
      </c>
      <c r="J691">
        <v>15.5</v>
      </c>
      <c r="K691">
        <v>84</v>
      </c>
    </row>
    <row r="692" spans="1:11" x14ac:dyDescent="0.3">
      <c r="A692">
        <v>2023</v>
      </c>
      <c r="B692">
        <v>57</v>
      </c>
      <c r="C692">
        <v>6</v>
      </c>
      <c r="D692" s="1">
        <v>727</v>
      </c>
      <c r="E692" s="1" t="s">
        <v>16</v>
      </c>
      <c r="F692">
        <v>202</v>
      </c>
      <c r="G692">
        <v>1</v>
      </c>
      <c r="J692">
        <v>13.2</v>
      </c>
      <c r="K692">
        <v>62</v>
      </c>
    </row>
    <row r="693" spans="1:11" x14ac:dyDescent="0.3">
      <c r="A693">
        <v>2023</v>
      </c>
      <c r="B693">
        <v>57</v>
      </c>
      <c r="C693">
        <v>7</v>
      </c>
      <c r="D693" s="1">
        <v>728</v>
      </c>
      <c r="E693" s="1" t="s">
        <v>16</v>
      </c>
      <c r="F693">
        <v>202</v>
      </c>
      <c r="G693">
        <v>1</v>
      </c>
      <c r="J693">
        <v>12.6</v>
      </c>
      <c r="K693">
        <v>69</v>
      </c>
    </row>
    <row r="694" spans="1:11" x14ac:dyDescent="0.3">
      <c r="A694">
        <v>2023</v>
      </c>
      <c r="B694">
        <v>57</v>
      </c>
      <c r="C694">
        <v>8</v>
      </c>
      <c r="D694" s="1">
        <v>729</v>
      </c>
      <c r="E694" s="1" t="s">
        <v>16</v>
      </c>
      <c r="F694">
        <v>122</v>
      </c>
      <c r="G694">
        <v>1</v>
      </c>
      <c r="J694">
        <v>10.199999999999999</v>
      </c>
      <c r="K694">
        <v>66</v>
      </c>
    </row>
    <row r="695" spans="1:11" x14ac:dyDescent="0.3">
      <c r="A695">
        <v>2023</v>
      </c>
      <c r="B695">
        <v>57</v>
      </c>
      <c r="C695">
        <v>9</v>
      </c>
      <c r="D695" s="1">
        <v>730</v>
      </c>
      <c r="E695" s="1" t="s">
        <v>16</v>
      </c>
      <c r="F695">
        <v>122</v>
      </c>
      <c r="G695">
        <v>1</v>
      </c>
      <c r="J695">
        <v>18.5</v>
      </c>
      <c r="K695">
        <v>82</v>
      </c>
    </row>
    <row r="696" spans="1:11" x14ac:dyDescent="0.3">
      <c r="A696">
        <v>2023</v>
      </c>
      <c r="B696">
        <v>57</v>
      </c>
      <c r="C696">
        <v>10</v>
      </c>
      <c r="D696" s="1">
        <v>731</v>
      </c>
      <c r="E696" s="1" t="s">
        <v>16</v>
      </c>
      <c r="F696">
        <v>122</v>
      </c>
      <c r="G696">
        <v>1</v>
      </c>
      <c r="J696">
        <v>1.1000000000000001</v>
      </c>
    </row>
    <row r="697" spans="1:11" x14ac:dyDescent="0.3">
      <c r="A697">
        <v>2023</v>
      </c>
      <c r="B697">
        <v>57</v>
      </c>
      <c r="C697">
        <v>11</v>
      </c>
      <c r="D697" s="1">
        <v>732</v>
      </c>
      <c r="E697" s="1" t="s">
        <v>16</v>
      </c>
      <c r="F697">
        <v>122</v>
      </c>
      <c r="G697">
        <v>1</v>
      </c>
      <c r="J697">
        <v>2.9</v>
      </c>
    </row>
    <row r="698" spans="1:11" x14ac:dyDescent="0.3">
      <c r="A698">
        <v>2023</v>
      </c>
      <c r="B698">
        <v>57</v>
      </c>
      <c r="C698">
        <v>12</v>
      </c>
      <c r="D698" s="1">
        <v>733</v>
      </c>
      <c r="E698" s="1" t="s">
        <v>16</v>
      </c>
      <c r="F698">
        <v>122</v>
      </c>
      <c r="G698">
        <v>1</v>
      </c>
      <c r="J698">
        <v>2.1</v>
      </c>
    </row>
    <row r="699" spans="1:11" x14ac:dyDescent="0.3">
      <c r="A699">
        <v>2023</v>
      </c>
      <c r="B699">
        <v>57</v>
      </c>
      <c r="C699">
        <v>13</v>
      </c>
      <c r="D699" s="1">
        <v>734</v>
      </c>
      <c r="E699" s="1" t="s">
        <v>16</v>
      </c>
      <c r="F699">
        <v>122</v>
      </c>
      <c r="G699">
        <v>1</v>
      </c>
      <c r="J699">
        <v>2.9</v>
      </c>
    </row>
    <row r="700" spans="1:11" x14ac:dyDescent="0.3">
      <c r="A700">
        <v>2023</v>
      </c>
      <c r="B700">
        <v>57</v>
      </c>
      <c r="C700">
        <v>14</v>
      </c>
      <c r="D700" s="1">
        <v>735</v>
      </c>
      <c r="E700" s="1" t="s">
        <v>16</v>
      </c>
      <c r="F700">
        <v>202</v>
      </c>
      <c r="G700">
        <v>1</v>
      </c>
      <c r="J700">
        <v>1.9</v>
      </c>
    </row>
    <row r="701" spans="1:11" x14ac:dyDescent="0.3">
      <c r="A701">
        <v>2023</v>
      </c>
      <c r="B701">
        <v>57</v>
      </c>
      <c r="C701">
        <v>15</v>
      </c>
      <c r="D701" s="1">
        <v>736</v>
      </c>
      <c r="E701" s="1" t="s">
        <v>16</v>
      </c>
      <c r="F701">
        <v>122</v>
      </c>
      <c r="G701">
        <v>1</v>
      </c>
      <c r="J701">
        <v>1.2</v>
      </c>
    </row>
    <row r="702" spans="1:11" x14ac:dyDescent="0.3">
      <c r="A702">
        <v>2023</v>
      </c>
      <c r="B702">
        <v>57</v>
      </c>
      <c r="C702">
        <v>16</v>
      </c>
      <c r="D702" s="1">
        <v>737</v>
      </c>
      <c r="E702" s="1" t="s">
        <v>16</v>
      </c>
      <c r="F702">
        <v>202</v>
      </c>
      <c r="G702">
        <v>1</v>
      </c>
      <c r="J702">
        <v>1.7</v>
      </c>
    </row>
    <row r="703" spans="1:11" x14ac:dyDescent="0.3">
      <c r="A703">
        <v>2023</v>
      </c>
      <c r="B703">
        <v>57</v>
      </c>
      <c r="C703">
        <v>17</v>
      </c>
      <c r="D703" s="1">
        <v>738</v>
      </c>
      <c r="E703" s="1" t="s">
        <v>16</v>
      </c>
      <c r="F703">
        <v>202</v>
      </c>
      <c r="G703">
        <v>1</v>
      </c>
      <c r="J703">
        <v>1.7</v>
      </c>
    </row>
    <row r="704" spans="1:11" x14ac:dyDescent="0.3">
      <c r="A704">
        <v>2023</v>
      </c>
      <c r="B704">
        <v>57</v>
      </c>
      <c r="C704">
        <v>18</v>
      </c>
      <c r="D704" s="1">
        <v>739</v>
      </c>
      <c r="E704" s="1" t="s">
        <v>16</v>
      </c>
      <c r="F704">
        <v>202</v>
      </c>
      <c r="G704">
        <v>1</v>
      </c>
      <c r="J704">
        <v>2.2000000000000002</v>
      </c>
    </row>
    <row r="705" spans="1:16" x14ac:dyDescent="0.3">
      <c r="A705">
        <v>2023</v>
      </c>
      <c r="B705">
        <v>57</v>
      </c>
      <c r="C705">
        <v>19</v>
      </c>
      <c r="D705" s="1">
        <v>740</v>
      </c>
      <c r="E705" s="1" t="s">
        <v>16</v>
      </c>
      <c r="F705">
        <v>202</v>
      </c>
      <c r="G705">
        <v>1</v>
      </c>
      <c r="J705">
        <v>1.5</v>
      </c>
    </row>
    <row r="706" spans="1:16" x14ac:dyDescent="0.3">
      <c r="A706">
        <v>2023</v>
      </c>
      <c r="B706">
        <v>57</v>
      </c>
      <c r="C706">
        <v>20</v>
      </c>
      <c r="D706" s="1">
        <v>741</v>
      </c>
      <c r="E706" s="1" t="s">
        <v>16</v>
      </c>
      <c r="F706">
        <v>122</v>
      </c>
      <c r="G706">
        <v>1</v>
      </c>
      <c r="J706">
        <v>2.8</v>
      </c>
    </row>
    <row r="707" spans="1:16" x14ac:dyDescent="0.3">
      <c r="A707">
        <v>2023</v>
      </c>
      <c r="B707">
        <v>57</v>
      </c>
      <c r="C707">
        <v>21</v>
      </c>
      <c r="D707" s="1">
        <v>742</v>
      </c>
      <c r="E707" s="1" t="s">
        <v>19</v>
      </c>
      <c r="F707">
        <v>122</v>
      </c>
      <c r="G707">
        <v>0</v>
      </c>
      <c r="H707" t="s">
        <v>89</v>
      </c>
      <c r="P707" t="s">
        <v>96</v>
      </c>
    </row>
    <row r="708" spans="1:16" x14ac:dyDescent="0.3">
      <c r="A708">
        <v>2023</v>
      </c>
      <c r="B708">
        <v>57</v>
      </c>
      <c r="C708">
        <v>22</v>
      </c>
      <c r="D708" s="1">
        <v>743</v>
      </c>
      <c r="E708" s="1" t="s">
        <v>16</v>
      </c>
      <c r="F708">
        <v>202</v>
      </c>
      <c r="G708">
        <v>1</v>
      </c>
      <c r="J708">
        <v>1.5</v>
      </c>
    </row>
    <row r="709" spans="1:16" x14ac:dyDescent="0.3">
      <c r="A709">
        <v>2023</v>
      </c>
      <c r="B709">
        <v>57</v>
      </c>
      <c r="C709">
        <v>23</v>
      </c>
      <c r="D709" s="1">
        <v>744</v>
      </c>
      <c r="E709" s="1" t="s">
        <v>16</v>
      </c>
      <c r="F709">
        <v>202</v>
      </c>
      <c r="G709">
        <v>1</v>
      </c>
      <c r="J709">
        <v>1.4</v>
      </c>
    </row>
    <row r="710" spans="1:16" x14ac:dyDescent="0.3">
      <c r="A710">
        <v>2023</v>
      </c>
      <c r="B710">
        <v>57</v>
      </c>
      <c r="C710">
        <v>24</v>
      </c>
      <c r="D710" s="1">
        <v>745</v>
      </c>
      <c r="E710" s="1" t="s">
        <v>16</v>
      </c>
      <c r="F710">
        <v>122</v>
      </c>
      <c r="G710">
        <v>1</v>
      </c>
      <c r="J710">
        <v>2</v>
      </c>
    </row>
    <row r="711" spans="1:16" x14ac:dyDescent="0.3">
      <c r="A711">
        <v>2023</v>
      </c>
      <c r="B711">
        <v>57</v>
      </c>
      <c r="C711">
        <v>25</v>
      </c>
      <c r="D711" s="1">
        <v>746</v>
      </c>
      <c r="E711" s="1" t="s">
        <v>16</v>
      </c>
      <c r="F711">
        <v>122</v>
      </c>
      <c r="G711">
        <v>1</v>
      </c>
      <c r="J711">
        <v>1.3</v>
      </c>
    </row>
    <row r="712" spans="1:16" x14ac:dyDescent="0.3">
      <c r="A712">
        <v>2023</v>
      </c>
      <c r="B712">
        <v>57</v>
      </c>
      <c r="C712">
        <v>26</v>
      </c>
      <c r="D712" s="1">
        <v>747</v>
      </c>
      <c r="E712" s="1" t="s">
        <v>16</v>
      </c>
      <c r="F712">
        <v>122</v>
      </c>
      <c r="G712">
        <v>1</v>
      </c>
      <c r="J712">
        <v>1.4</v>
      </c>
    </row>
    <row r="713" spans="1:16" x14ac:dyDescent="0.3">
      <c r="A713">
        <v>2023</v>
      </c>
      <c r="B713">
        <v>57</v>
      </c>
      <c r="C713">
        <v>27</v>
      </c>
      <c r="D713" s="1">
        <v>748</v>
      </c>
      <c r="E713" s="1" t="s">
        <v>16</v>
      </c>
      <c r="F713">
        <v>122</v>
      </c>
      <c r="G713">
        <v>1</v>
      </c>
      <c r="J713">
        <v>2.8</v>
      </c>
    </row>
    <row r="714" spans="1:16" x14ac:dyDescent="0.3">
      <c r="A714">
        <v>2023</v>
      </c>
      <c r="B714">
        <v>57</v>
      </c>
      <c r="C714">
        <v>28</v>
      </c>
      <c r="D714" s="1">
        <v>749</v>
      </c>
      <c r="E714" s="1" t="s">
        <v>16</v>
      </c>
      <c r="F714">
        <v>122</v>
      </c>
      <c r="G714">
        <v>1</v>
      </c>
      <c r="J714">
        <v>2.4</v>
      </c>
    </row>
    <row r="715" spans="1:16" x14ac:dyDescent="0.3">
      <c r="A715">
        <v>2023</v>
      </c>
      <c r="B715">
        <v>57</v>
      </c>
      <c r="C715">
        <v>29</v>
      </c>
      <c r="D715" s="1">
        <v>750</v>
      </c>
      <c r="E715" s="1" t="s">
        <v>16</v>
      </c>
      <c r="F715">
        <v>122</v>
      </c>
      <c r="G715">
        <v>1</v>
      </c>
      <c r="J715">
        <v>1.4</v>
      </c>
    </row>
    <row r="716" spans="1:16" x14ac:dyDescent="0.3">
      <c r="A716">
        <v>2023</v>
      </c>
      <c r="B716">
        <v>57</v>
      </c>
      <c r="C716">
        <v>30</v>
      </c>
      <c r="D716" s="1">
        <v>4491</v>
      </c>
      <c r="E716" s="1" t="s">
        <v>97</v>
      </c>
      <c r="F716">
        <v>202</v>
      </c>
      <c r="G716">
        <v>1</v>
      </c>
      <c r="H716" t="s">
        <v>98</v>
      </c>
      <c r="J716">
        <v>1</v>
      </c>
      <c r="P716" t="s">
        <v>99</v>
      </c>
    </row>
    <row r="717" spans="1:16" x14ac:dyDescent="0.3">
      <c r="A717">
        <v>2023</v>
      </c>
      <c r="B717">
        <v>57</v>
      </c>
      <c r="C717">
        <v>31</v>
      </c>
      <c r="D717" s="1">
        <v>4492</v>
      </c>
      <c r="E717" s="1" t="s">
        <v>97</v>
      </c>
      <c r="F717">
        <v>202</v>
      </c>
      <c r="G717">
        <v>1</v>
      </c>
      <c r="H717" t="s">
        <v>98</v>
      </c>
      <c r="J717">
        <v>1</v>
      </c>
      <c r="P717" t="s">
        <v>100</v>
      </c>
    </row>
    <row r="718" spans="1:16" x14ac:dyDescent="0.3">
      <c r="A718">
        <v>2023</v>
      </c>
      <c r="B718">
        <v>57</v>
      </c>
      <c r="C718">
        <v>32</v>
      </c>
      <c r="D718" s="1">
        <v>4493</v>
      </c>
      <c r="E718" s="1" t="s">
        <v>97</v>
      </c>
      <c r="F718">
        <v>122</v>
      </c>
      <c r="G718">
        <v>1</v>
      </c>
      <c r="H718" t="s">
        <v>98</v>
      </c>
      <c r="J718">
        <v>1</v>
      </c>
      <c r="P718" t="s">
        <v>101</v>
      </c>
    </row>
    <row r="719" spans="1:16" x14ac:dyDescent="0.3">
      <c r="A719">
        <v>2023</v>
      </c>
      <c r="B719">
        <v>70</v>
      </c>
      <c r="C719">
        <v>1</v>
      </c>
      <c r="D719" s="1">
        <v>934</v>
      </c>
      <c r="E719" s="1" t="s">
        <v>16</v>
      </c>
      <c r="F719">
        <v>122</v>
      </c>
      <c r="G719">
        <v>1</v>
      </c>
      <c r="J719">
        <v>7.9</v>
      </c>
      <c r="K719">
        <v>39</v>
      </c>
    </row>
    <row r="720" spans="1:16" x14ac:dyDescent="0.3">
      <c r="A720">
        <v>2023</v>
      </c>
      <c r="B720">
        <v>70</v>
      </c>
      <c r="C720">
        <v>2</v>
      </c>
      <c r="D720" s="1">
        <v>935</v>
      </c>
      <c r="E720" s="1" t="s">
        <v>16</v>
      </c>
      <c r="F720">
        <v>202</v>
      </c>
      <c r="G720">
        <v>1</v>
      </c>
      <c r="J720">
        <v>13.1</v>
      </c>
      <c r="K720">
        <v>62</v>
      </c>
    </row>
    <row r="721" spans="1:15" x14ac:dyDescent="0.3">
      <c r="A721">
        <v>2023</v>
      </c>
      <c r="B721">
        <v>70</v>
      </c>
      <c r="C721">
        <v>3</v>
      </c>
      <c r="D721" s="1">
        <v>936</v>
      </c>
      <c r="E721" s="1" t="s">
        <v>16</v>
      </c>
      <c r="F721">
        <v>122</v>
      </c>
      <c r="G721">
        <v>1</v>
      </c>
      <c r="J721">
        <v>9.5</v>
      </c>
      <c r="K721">
        <v>59</v>
      </c>
    </row>
    <row r="722" spans="1:15" x14ac:dyDescent="0.3">
      <c r="A722">
        <v>2023</v>
      </c>
      <c r="B722">
        <v>70</v>
      </c>
      <c r="C722">
        <v>4</v>
      </c>
      <c r="D722" s="1">
        <v>937</v>
      </c>
      <c r="E722" s="1" t="s">
        <v>16</v>
      </c>
      <c r="F722">
        <v>122</v>
      </c>
      <c r="G722">
        <v>1</v>
      </c>
      <c r="J722">
        <v>9.4</v>
      </c>
      <c r="K722">
        <v>55</v>
      </c>
    </row>
    <row r="723" spans="1:15" x14ac:dyDescent="0.3">
      <c r="A723">
        <v>2023</v>
      </c>
      <c r="B723">
        <v>70</v>
      </c>
      <c r="C723">
        <v>5</v>
      </c>
      <c r="D723" s="1">
        <v>938</v>
      </c>
      <c r="E723" s="1" t="s">
        <v>16</v>
      </c>
      <c r="F723">
        <v>122</v>
      </c>
      <c r="G723">
        <v>1</v>
      </c>
      <c r="J723">
        <v>13.3</v>
      </c>
      <c r="K723">
        <v>59</v>
      </c>
    </row>
    <row r="724" spans="1:15" x14ac:dyDescent="0.3">
      <c r="A724">
        <v>2023</v>
      </c>
      <c r="B724">
        <v>70</v>
      </c>
      <c r="C724">
        <v>6</v>
      </c>
      <c r="D724" s="1">
        <v>939</v>
      </c>
      <c r="E724" s="1" t="s">
        <v>16</v>
      </c>
      <c r="F724">
        <v>122</v>
      </c>
      <c r="G724">
        <v>1</v>
      </c>
      <c r="J724">
        <v>9.5</v>
      </c>
      <c r="K724">
        <v>55</v>
      </c>
    </row>
    <row r="725" spans="1:15" x14ac:dyDescent="0.3">
      <c r="A725">
        <v>2023</v>
      </c>
      <c r="B725">
        <v>70</v>
      </c>
      <c r="C725">
        <v>7</v>
      </c>
      <c r="D725" s="1">
        <v>940</v>
      </c>
      <c r="E725" s="1" t="s">
        <v>16</v>
      </c>
      <c r="F725">
        <v>122</v>
      </c>
      <c r="G725">
        <v>1</v>
      </c>
      <c r="J725">
        <v>8.3000000000000007</v>
      </c>
      <c r="K725">
        <v>50</v>
      </c>
    </row>
    <row r="726" spans="1:15" x14ac:dyDescent="0.3">
      <c r="A726">
        <v>2023</v>
      </c>
      <c r="B726">
        <v>70</v>
      </c>
      <c r="C726">
        <v>8</v>
      </c>
      <c r="D726" s="1">
        <v>941</v>
      </c>
      <c r="E726" s="1" t="s">
        <v>16</v>
      </c>
      <c r="F726">
        <v>122</v>
      </c>
      <c r="G726">
        <v>1</v>
      </c>
      <c r="J726">
        <v>10.8</v>
      </c>
      <c r="K726">
        <v>57</v>
      </c>
    </row>
    <row r="727" spans="1:15" x14ac:dyDescent="0.3">
      <c r="A727">
        <v>2023</v>
      </c>
      <c r="B727">
        <v>70</v>
      </c>
      <c r="C727">
        <v>9</v>
      </c>
      <c r="D727" s="1">
        <v>942</v>
      </c>
      <c r="E727" s="1" t="s">
        <v>16</v>
      </c>
      <c r="F727">
        <v>122</v>
      </c>
      <c r="G727">
        <v>1</v>
      </c>
      <c r="J727">
        <v>5.9</v>
      </c>
      <c r="K727">
        <v>35</v>
      </c>
    </row>
    <row r="728" spans="1:15" x14ac:dyDescent="0.3">
      <c r="A728">
        <v>2023</v>
      </c>
      <c r="B728">
        <v>70</v>
      </c>
      <c r="C728">
        <v>10</v>
      </c>
      <c r="D728" s="1">
        <v>943</v>
      </c>
      <c r="E728" s="1" t="s">
        <v>16</v>
      </c>
      <c r="F728">
        <v>202</v>
      </c>
      <c r="G728">
        <v>1</v>
      </c>
      <c r="J728">
        <v>12.9</v>
      </c>
      <c r="K728">
        <v>60</v>
      </c>
    </row>
    <row r="729" spans="1:15" x14ac:dyDescent="0.3">
      <c r="A729">
        <v>2023</v>
      </c>
      <c r="B729">
        <v>70</v>
      </c>
      <c r="C729">
        <v>11</v>
      </c>
      <c r="D729" s="1">
        <v>944</v>
      </c>
      <c r="E729" s="1" t="s">
        <v>16</v>
      </c>
      <c r="F729">
        <v>202</v>
      </c>
      <c r="G729">
        <v>1</v>
      </c>
      <c r="J729">
        <v>12.6</v>
      </c>
      <c r="K729">
        <v>67</v>
      </c>
    </row>
    <row r="730" spans="1:15" x14ac:dyDescent="0.3">
      <c r="A730">
        <v>2023</v>
      </c>
      <c r="B730">
        <v>70</v>
      </c>
      <c r="C730">
        <v>12</v>
      </c>
      <c r="D730" s="1">
        <v>945</v>
      </c>
      <c r="E730" s="1" t="s">
        <v>16</v>
      </c>
      <c r="F730">
        <v>202</v>
      </c>
      <c r="G730">
        <v>1</v>
      </c>
      <c r="J730">
        <v>8.8000000000000007</v>
      </c>
      <c r="K730">
        <v>50</v>
      </c>
    </row>
    <row r="731" spans="1:15" x14ac:dyDescent="0.3">
      <c r="A731">
        <v>2023</v>
      </c>
      <c r="B731">
        <v>70</v>
      </c>
      <c r="C731">
        <v>13</v>
      </c>
      <c r="D731" s="1">
        <v>4494</v>
      </c>
      <c r="E731" s="1" t="s">
        <v>97</v>
      </c>
      <c r="F731">
        <v>122</v>
      </c>
      <c r="G731">
        <v>1</v>
      </c>
      <c r="H731" t="s">
        <v>98</v>
      </c>
      <c r="J731">
        <v>5.6</v>
      </c>
      <c r="K731">
        <v>24</v>
      </c>
    </row>
    <row r="732" spans="1:15" x14ac:dyDescent="0.3">
      <c r="A732">
        <v>2023</v>
      </c>
      <c r="B732">
        <v>70</v>
      </c>
      <c r="C732">
        <v>14</v>
      </c>
      <c r="D732" s="1">
        <v>4495</v>
      </c>
      <c r="E732" s="1" t="s">
        <v>97</v>
      </c>
      <c r="F732">
        <v>122</v>
      </c>
      <c r="G732">
        <v>1</v>
      </c>
      <c r="H732" t="s">
        <v>98</v>
      </c>
      <c r="J732">
        <v>5.5</v>
      </c>
      <c r="K732">
        <v>35</v>
      </c>
    </row>
    <row r="733" spans="1:15" x14ac:dyDescent="0.3">
      <c r="A733">
        <v>2023</v>
      </c>
      <c r="B733">
        <v>80</v>
      </c>
      <c r="C733">
        <v>1</v>
      </c>
      <c r="D733" s="1">
        <v>1086</v>
      </c>
      <c r="E733" s="1" t="s">
        <v>24</v>
      </c>
      <c r="F733">
        <v>350</v>
      </c>
      <c r="G733">
        <v>0</v>
      </c>
      <c r="H733" t="s">
        <v>89</v>
      </c>
    </row>
    <row r="734" spans="1:15" x14ac:dyDescent="0.3">
      <c r="A734">
        <v>2023</v>
      </c>
      <c r="B734">
        <v>80</v>
      </c>
      <c r="C734">
        <v>2</v>
      </c>
      <c r="D734" s="1">
        <v>1087</v>
      </c>
      <c r="E734" s="1" t="s">
        <v>34</v>
      </c>
      <c r="F734">
        <v>202</v>
      </c>
      <c r="G734">
        <v>2</v>
      </c>
      <c r="I734">
        <v>3</v>
      </c>
      <c r="J734">
        <v>19.2</v>
      </c>
      <c r="K734">
        <v>70</v>
      </c>
      <c r="L734">
        <v>22</v>
      </c>
      <c r="M734" s="1">
        <v>50</v>
      </c>
      <c r="N734" s="1">
        <v>13</v>
      </c>
      <c r="O734">
        <v>4</v>
      </c>
    </row>
    <row r="735" spans="1:15" x14ac:dyDescent="0.3">
      <c r="A735">
        <v>2023</v>
      </c>
      <c r="B735">
        <v>80</v>
      </c>
      <c r="C735">
        <v>3</v>
      </c>
      <c r="D735" s="1">
        <v>1088</v>
      </c>
      <c r="E735" s="1" t="s">
        <v>16</v>
      </c>
      <c r="F735">
        <v>202</v>
      </c>
      <c r="G735">
        <v>1</v>
      </c>
      <c r="J735">
        <v>24</v>
      </c>
      <c r="K735">
        <v>86</v>
      </c>
    </row>
    <row r="736" spans="1:15" x14ac:dyDescent="0.3">
      <c r="A736">
        <v>2023</v>
      </c>
      <c r="B736">
        <v>80</v>
      </c>
      <c r="C736">
        <v>4</v>
      </c>
      <c r="D736" s="1">
        <v>1089</v>
      </c>
      <c r="E736" s="1" t="s">
        <v>16</v>
      </c>
      <c r="F736">
        <v>202</v>
      </c>
      <c r="G736">
        <v>1</v>
      </c>
      <c r="J736">
        <v>14.6</v>
      </c>
      <c r="K736">
        <v>56</v>
      </c>
    </row>
    <row r="737" spans="1:11" x14ac:dyDescent="0.3">
      <c r="A737">
        <v>2023</v>
      </c>
      <c r="B737">
        <v>80</v>
      </c>
      <c r="C737">
        <v>5</v>
      </c>
      <c r="D737" s="1">
        <v>1090</v>
      </c>
      <c r="E737" s="1" t="s">
        <v>16</v>
      </c>
      <c r="F737">
        <v>202</v>
      </c>
      <c r="G737">
        <v>1</v>
      </c>
      <c r="J737">
        <v>4.5999999999999996</v>
      </c>
    </row>
    <row r="738" spans="1:11" x14ac:dyDescent="0.3">
      <c r="A738">
        <v>2023</v>
      </c>
      <c r="B738">
        <v>80</v>
      </c>
      <c r="C738">
        <v>6</v>
      </c>
      <c r="D738" s="1">
        <v>4506</v>
      </c>
      <c r="E738" s="1" t="s">
        <v>97</v>
      </c>
      <c r="F738">
        <v>350</v>
      </c>
      <c r="G738">
        <v>1</v>
      </c>
      <c r="H738" t="s">
        <v>98</v>
      </c>
      <c r="J738">
        <v>5.0999999999999996</v>
      </c>
      <c r="K738">
        <v>31</v>
      </c>
    </row>
    <row r="739" spans="1:11" x14ac:dyDescent="0.3">
      <c r="A739">
        <v>2023</v>
      </c>
      <c r="B739">
        <v>81</v>
      </c>
      <c r="C739">
        <v>1</v>
      </c>
      <c r="D739" s="1">
        <v>1091</v>
      </c>
      <c r="E739" s="1" t="s">
        <v>16</v>
      </c>
      <c r="F739">
        <v>108</v>
      </c>
      <c r="G739">
        <v>1</v>
      </c>
      <c r="J739">
        <v>6.6</v>
      </c>
      <c r="K739">
        <v>50</v>
      </c>
    </row>
    <row r="740" spans="1:11" x14ac:dyDescent="0.3">
      <c r="A740">
        <v>2023</v>
      </c>
      <c r="B740">
        <v>81</v>
      </c>
      <c r="C740">
        <v>2</v>
      </c>
      <c r="D740" s="1">
        <v>1092</v>
      </c>
      <c r="E740" s="1" t="s">
        <v>16</v>
      </c>
      <c r="F740">
        <v>108</v>
      </c>
      <c r="G740">
        <v>1</v>
      </c>
      <c r="J740">
        <v>5.7</v>
      </c>
      <c r="K740">
        <v>48</v>
      </c>
    </row>
    <row r="741" spans="1:11" x14ac:dyDescent="0.3">
      <c r="A741">
        <v>2023</v>
      </c>
      <c r="B741">
        <v>81</v>
      </c>
      <c r="C741">
        <v>3</v>
      </c>
      <c r="D741" s="1">
        <v>1093</v>
      </c>
      <c r="E741" s="1" t="s">
        <v>16</v>
      </c>
      <c r="F741">
        <v>108</v>
      </c>
      <c r="G741">
        <v>1</v>
      </c>
      <c r="J741">
        <v>6.5</v>
      </c>
      <c r="K741">
        <v>45</v>
      </c>
    </row>
    <row r="742" spans="1:11" x14ac:dyDescent="0.3">
      <c r="A742">
        <v>2023</v>
      </c>
      <c r="B742">
        <v>81</v>
      </c>
      <c r="C742">
        <v>4</v>
      </c>
      <c r="D742" s="1">
        <v>1094</v>
      </c>
      <c r="E742" s="1" t="s">
        <v>16</v>
      </c>
      <c r="F742">
        <v>108</v>
      </c>
      <c r="G742">
        <v>1</v>
      </c>
      <c r="J742">
        <v>5.3</v>
      </c>
      <c r="K742">
        <v>48</v>
      </c>
    </row>
    <row r="743" spans="1:11" x14ac:dyDescent="0.3">
      <c r="A743">
        <v>2023</v>
      </c>
      <c r="B743">
        <v>81</v>
      </c>
      <c r="C743">
        <v>5</v>
      </c>
      <c r="D743" s="1">
        <v>1095</v>
      </c>
      <c r="E743" s="1" t="s">
        <v>16</v>
      </c>
      <c r="F743">
        <v>108</v>
      </c>
      <c r="G743">
        <v>1</v>
      </c>
      <c r="J743">
        <v>5.7</v>
      </c>
      <c r="K743">
        <v>48</v>
      </c>
    </row>
    <row r="744" spans="1:11" x14ac:dyDescent="0.3">
      <c r="A744">
        <v>2023</v>
      </c>
      <c r="B744">
        <v>81</v>
      </c>
      <c r="C744">
        <v>6</v>
      </c>
      <c r="D744" s="1">
        <v>1096</v>
      </c>
      <c r="E744" s="1" t="s">
        <v>24</v>
      </c>
      <c r="F744">
        <v>108</v>
      </c>
      <c r="G744">
        <v>0</v>
      </c>
      <c r="H744" t="s">
        <v>89</v>
      </c>
    </row>
    <row r="745" spans="1:11" x14ac:dyDescent="0.3">
      <c r="A745">
        <v>2023</v>
      </c>
      <c r="B745">
        <v>81</v>
      </c>
      <c r="C745">
        <v>7</v>
      </c>
      <c r="D745" s="1">
        <v>1097</v>
      </c>
      <c r="E745" s="1" t="s">
        <v>24</v>
      </c>
      <c r="F745">
        <v>108</v>
      </c>
      <c r="G745">
        <v>0</v>
      </c>
      <c r="H745" t="s">
        <v>89</v>
      </c>
    </row>
    <row r="746" spans="1:11" x14ac:dyDescent="0.3">
      <c r="A746">
        <v>2023</v>
      </c>
      <c r="B746">
        <v>81</v>
      </c>
      <c r="C746">
        <v>8</v>
      </c>
      <c r="D746" s="1">
        <v>1098</v>
      </c>
      <c r="E746" s="1" t="s">
        <v>24</v>
      </c>
      <c r="F746">
        <v>108</v>
      </c>
      <c r="G746">
        <v>0</v>
      </c>
      <c r="H746" t="s">
        <v>89</v>
      </c>
    </row>
    <row r="747" spans="1:11" x14ac:dyDescent="0.3">
      <c r="A747">
        <v>2023</v>
      </c>
      <c r="B747">
        <v>81</v>
      </c>
      <c r="C747">
        <v>9</v>
      </c>
      <c r="D747" s="1">
        <v>1099</v>
      </c>
      <c r="E747" s="1" t="s">
        <v>24</v>
      </c>
      <c r="F747">
        <v>108</v>
      </c>
      <c r="G747">
        <v>0</v>
      </c>
      <c r="H747" t="s">
        <v>89</v>
      </c>
    </row>
    <row r="748" spans="1:11" x14ac:dyDescent="0.3">
      <c r="A748">
        <v>2023</v>
      </c>
      <c r="B748">
        <v>81</v>
      </c>
      <c r="C748">
        <v>10</v>
      </c>
      <c r="D748" s="1">
        <v>1100</v>
      </c>
      <c r="E748" s="1" t="s">
        <v>24</v>
      </c>
      <c r="F748">
        <v>108</v>
      </c>
      <c r="G748">
        <v>0</v>
      </c>
      <c r="H748" t="s">
        <v>89</v>
      </c>
    </row>
    <row r="749" spans="1:11" x14ac:dyDescent="0.3">
      <c r="A749">
        <v>2023</v>
      </c>
      <c r="B749">
        <v>81</v>
      </c>
      <c r="C749">
        <v>11</v>
      </c>
      <c r="D749" s="1">
        <v>1101</v>
      </c>
      <c r="E749" s="1" t="s">
        <v>16</v>
      </c>
      <c r="F749">
        <v>108</v>
      </c>
      <c r="G749">
        <v>1</v>
      </c>
      <c r="J749">
        <v>6.8</v>
      </c>
      <c r="K749">
        <v>49</v>
      </c>
    </row>
    <row r="750" spans="1:11" x14ac:dyDescent="0.3">
      <c r="A750">
        <v>2023</v>
      </c>
      <c r="B750">
        <v>81</v>
      </c>
      <c r="C750">
        <v>12</v>
      </c>
      <c r="D750" s="1">
        <v>1102</v>
      </c>
      <c r="E750" s="1" t="s">
        <v>24</v>
      </c>
      <c r="F750">
        <v>108</v>
      </c>
      <c r="G750">
        <v>0</v>
      </c>
      <c r="H750" t="s">
        <v>89</v>
      </c>
    </row>
    <row r="751" spans="1:11" x14ac:dyDescent="0.3">
      <c r="A751">
        <v>2023</v>
      </c>
      <c r="B751">
        <v>81</v>
      </c>
      <c r="C751">
        <v>13</v>
      </c>
      <c r="D751" s="1">
        <v>1103</v>
      </c>
      <c r="E751" s="1" t="s">
        <v>24</v>
      </c>
      <c r="F751">
        <v>108</v>
      </c>
      <c r="G751">
        <v>0</v>
      </c>
      <c r="H751" t="s">
        <v>89</v>
      </c>
    </row>
    <row r="752" spans="1:11" x14ac:dyDescent="0.3">
      <c r="A752">
        <v>2023</v>
      </c>
      <c r="B752">
        <v>81</v>
      </c>
      <c r="C752">
        <v>14</v>
      </c>
      <c r="D752" s="1">
        <v>1104</v>
      </c>
      <c r="E752" s="1" t="s">
        <v>24</v>
      </c>
      <c r="F752">
        <v>108</v>
      </c>
      <c r="G752">
        <v>0</v>
      </c>
      <c r="H752" t="s">
        <v>89</v>
      </c>
    </row>
    <row r="753" spans="1:11" x14ac:dyDescent="0.3">
      <c r="A753">
        <v>2023</v>
      </c>
      <c r="B753">
        <v>81</v>
      </c>
      <c r="C753">
        <v>15</v>
      </c>
      <c r="D753" s="1">
        <v>1105</v>
      </c>
      <c r="E753" s="1" t="s">
        <v>16</v>
      </c>
      <c r="F753">
        <v>108</v>
      </c>
      <c r="G753">
        <v>1</v>
      </c>
      <c r="J753">
        <v>6.5</v>
      </c>
      <c r="K753">
        <v>52</v>
      </c>
    </row>
    <row r="754" spans="1:11" x14ac:dyDescent="0.3">
      <c r="A754">
        <v>2023</v>
      </c>
      <c r="B754">
        <v>81</v>
      </c>
      <c r="C754">
        <v>16</v>
      </c>
      <c r="D754" s="1">
        <v>1106</v>
      </c>
      <c r="E754" s="1" t="s">
        <v>16</v>
      </c>
      <c r="F754">
        <v>108</v>
      </c>
      <c r="G754">
        <v>1</v>
      </c>
      <c r="J754">
        <v>8.4</v>
      </c>
      <c r="K754">
        <v>57</v>
      </c>
    </row>
    <row r="755" spans="1:11" x14ac:dyDescent="0.3">
      <c r="A755">
        <v>2023</v>
      </c>
      <c r="B755">
        <v>81</v>
      </c>
      <c r="C755">
        <v>17</v>
      </c>
      <c r="D755" s="1">
        <v>1107</v>
      </c>
      <c r="E755" s="1" t="s">
        <v>16</v>
      </c>
      <c r="F755">
        <v>108</v>
      </c>
      <c r="G755">
        <v>1</v>
      </c>
      <c r="J755">
        <v>7.1</v>
      </c>
      <c r="K755">
        <v>58</v>
      </c>
    </row>
    <row r="756" spans="1:11" x14ac:dyDescent="0.3">
      <c r="A756">
        <v>2023</v>
      </c>
      <c r="B756">
        <v>81</v>
      </c>
      <c r="C756">
        <v>18</v>
      </c>
      <c r="D756" s="1">
        <v>1108</v>
      </c>
      <c r="E756" s="1" t="s">
        <v>16</v>
      </c>
      <c r="F756">
        <v>108</v>
      </c>
      <c r="G756">
        <v>1</v>
      </c>
      <c r="J756">
        <v>7.5</v>
      </c>
      <c r="K756">
        <v>55</v>
      </c>
    </row>
    <row r="757" spans="1:11" x14ac:dyDescent="0.3">
      <c r="A757">
        <v>2023</v>
      </c>
      <c r="B757">
        <v>81</v>
      </c>
      <c r="C757">
        <v>19</v>
      </c>
      <c r="D757" s="1">
        <v>1109</v>
      </c>
      <c r="E757" s="1" t="s">
        <v>34</v>
      </c>
      <c r="F757">
        <v>108</v>
      </c>
      <c r="G757">
        <v>2</v>
      </c>
      <c r="I757">
        <v>2</v>
      </c>
      <c r="J757">
        <v>7.3</v>
      </c>
      <c r="K757">
        <v>48</v>
      </c>
    </row>
    <row r="758" spans="1:11" x14ac:dyDescent="0.3">
      <c r="A758">
        <v>2023</v>
      </c>
      <c r="B758">
        <v>81</v>
      </c>
      <c r="C758">
        <v>20</v>
      </c>
      <c r="D758" s="1">
        <v>1110</v>
      </c>
      <c r="E758" s="1" t="s">
        <v>16</v>
      </c>
      <c r="F758">
        <v>108</v>
      </c>
      <c r="G758">
        <v>1</v>
      </c>
      <c r="J758">
        <v>5.5</v>
      </c>
      <c r="K758">
        <v>44</v>
      </c>
    </row>
    <row r="759" spans="1:11" x14ac:dyDescent="0.3">
      <c r="A759">
        <v>2023</v>
      </c>
      <c r="B759">
        <v>81</v>
      </c>
      <c r="C759">
        <v>21</v>
      </c>
      <c r="D759" s="1">
        <v>1111</v>
      </c>
      <c r="E759" s="1" t="s">
        <v>16</v>
      </c>
      <c r="F759">
        <v>108</v>
      </c>
      <c r="G759">
        <v>1</v>
      </c>
      <c r="J759">
        <v>7.7</v>
      </c>
      <c r="K759">
        <v>58</v>
      </c>
    </row>
    <row r="760" spans="1:11" x14ac:dyDescent="0.3">
      <c r="A760">
        <v>2023</v>
      </c>
      <c r="B760">
        <v>81</v>
      </c>
      <c r="C760">
        <v>22</v>
      </c>
      <c r="D760" s="1">
        <v>1112</v>
      </c>
      <c r="E760" s="1" t="s">
        <v>16</v>
      </c>
      <c r="F760">
        <v>108</v>
      </c>
      <c r="G760">
        <v>1</v>
      </c>
      <c r="J760">
        <v>7.3</v>
      </c>
      <c r="K760">
        <v>54</v>
      </c>
    </row>
    <row r="761" spans="1:11" x14ac:dyDescent="0.3">
      <c r="A761">
        <v>2023</v>
      </c>
      <c r="B761">
        <v>81</v>
      </c>
      <c r="C761">
        <v>23</v>
      </c>
      <c r="D761" s="1">
        <v>1113</v>
      </c>
      <c r="E761" s="1" t="s">
        <v>16</v>
      </c>
      <c r="F761">
        <v>108</v>
      </c>
      <c r="G761">
        <v>1</v>
      </c>
      <c r="J761">
        <v>7.6</v>
      </c>
      <c r="K761">
        <v>54</v>
      </c>
    </row>
    <row r="762" spans="1:11" x14ac:dyDescent="0.3">
      <c r="A762">
        <v>2023</v>
      </c>
      <c r="B762">
        <v>81</v>
      </c>
      <c r="C762">
        <v>24</v>
      </c>
      <c r="D762" s="1">
        <v>1114</v>
      </c>
      <c r="E762" s="1" t="s">
        <v>24</v>
      </c>
      <c r="F762">
        <v>108</v>
      </c>
      <c r="G762">
        <v>0</v>
      </c>
      <c r="H762" t="s">
        <v>89</v>
      </c>
    </row>
    <row r="763" spans="1:11" x14ac:dyDescent="0.3">
      <c r="A763">
        <v>2023</v>
      </c>
      <c r="B763">
        <v>81</v>
      </c>
      <c r="C763">
        <v>25</v>
      </c>
      <c r="D763" s="1">
        <v>1115</v>
      </c>
      <c r="E763" s="1" t="s">
        <v>16</v>
      </c>
      <c r="F763">
        <v>108</v>
      </c>
      <c r="G763">
        <v>1</v>
      </c>
      <c r="J763">
        <v>8.1999999999999993</v>
      </c>
      <c r="K763">
        <v>58</v>
      </c>
    </row>
    <row r="764" spans="1:11" x14ac:dyDescent="0.3">
      <c r="A764">
        <v>2023</v>
      </c>
      <c r="B764">
        <v>81</v>
      </c>
      <c r="C764">
        <v>26</v>
      </c>
      <c r="D764" s="1">
        <v>1116</v>
      </c>
      <c r="E764" s="1" t="s">
        <v>16</v>
      </c>
      <c r="F764">
        <v>108</v>
      </c>
      <c r="G764">
        <v>1</v>
      </c>
      <c r="J764">
        <v>6.6</v>
      </c>
      <c r="K764">
        <v>50</v>
      </c>
    </row>
    <row r="765" spans="1:11" x14ac:dyDescent="0.3">
      <c r="A765">
        <v>2023</v>
      </c>
      <c r="B765">
        <v>81</v>
      </c>
      <c r="C765">
        <v>27</v>
      </c>
      <c r="D765" s="1">
        <v>1117</v>
      </c>
      <c r="E765" s="1" t="s">
        <v>16</v>
      </c>
      <c r="F765">
        <v>108</v>
      </c>
      <c r="G765">
        <v>1</v>
      </c>
      <c r="J765">
        <v>7.8</v>
      </c>
      <c r="K765">
        <v>49</v>
      </c>
    </row>
    <row r="766" spans="1:11" x14ac:dyDescent="0.3">
      <c r="A766">
        <v>2023</v>
      </c>
      <c r="B766">
        <v>81</v>
      </c>
      <c r="C766">
        <v>28</v>
      </c>
      <c r="D766" s="1">
        <v>1118</v>
      </c>
      <c r="E766" s="1" t="s">
        <v>16</v>
      </c>
      <c r="F766">
        <v>108</v>
      </c>
      <c r="G766">
        <v>1</v>
      </c>
      <c r="J766">
        <v>6.8</v>
      </c>
      <c r="K766">
        <v>45</v>
      </c>
    </row>
    <row r="767" spans="1:11" x14ac:dyDescent="0.3">
      <c r="A767">
        <v>2023</v>
      </c>
      <c r="B767">
        <v>81</v>
      </c>
      <c r="C767">
        <v>29</v>
      </c>
      <c r="D767" s="1">
        <v>1119</v>
      </c>
      <c r="E767" s="1" t="s">
        <v>24</v>
      </c>
      <c r="F767">
        <v>108</v>
      </c>
      <c r="G767">
        <v>0</v>
      </c>
      <c r="H767" t="s">
        <v>89</v>
      </c>
    </row>
    <row r="768" spans="1:11" x14ac:dyDescent="0.3">
      <c r="A768">
        <v>2023</v>
      </c>
      <c r="B768">
        <v>81</v>
      </c>
      <c r="C768">
        <v>30</v>
      </c>
      <c r="D768" s="1">
        <v>1120</v>
      </c>
      <c r="E768" s="1" t="s">
        <v>16</v>
      </c>
      <c r="F768">
        <v>108</v>
      </c>
      <c r="G768">
        <v>1</v>
      </c>
      <c r="J768">
        <v>9.3000000000000007</v>
      </c>
      <c r="K768">
        <v>50</v>
      </c>
    </row>
    <row r="769" spans="1:11" x14ac:dyDescent="0.3">
      <c r="A769">
        <v>2023</v>
      </c>
      <c r="B769">
        <v>81</v>
      </c>
      <c r="C769">
        <v>31</v>
      </c>
      <c r="D769" s="1">
        <v>1121</v>
      </c>
      <c r="E769" s="1" t="s">
        <v>16</v>
      </c>
      <c r="F769">
        <v>108</v>
      </c>
      <c r="G769">
        <v>1</v>
      </c>
      <c r="J769">
        <v>5.3</v>
      </c>
      <c r="K769">
        <v>46</v>
      </c>
    </row>
    <row r="770" spans="1:11" x14ac:dyDescent="0.3">
      <c r="A770">
        <v>2023</v>
      </c>
      <c r="B770">
        <v>81</v>
      </c>
      <c r="C770">
        <v>32</v>
      </c>
      <c r="D770" s="1">
        <v>1122</v>
      </c>
      <c r="E770" s="1" t="s">
        <v>16</v>
      </c>
      <c r="F770">
        <v>108</v>
      </c>
      <c r="G770">
        <v>1</v>
      </c>
      <c r="J770">
        <v>7.7</v>
      </c>
      <c r="K770">
        <v>47</v>
      </c>
    </row>
    <row r="771" spans="1:11" x14ac:dyDescent="0.3">
      <c r="A771">
        <v>2023</v>
      </c>
      <c r="B771">
        <v>81</v>
      </c>
      <c r="C771">
        <v>33</v>
      </c>
      <c r="D771" s="1">
        <v>1123</v>
      </c>
      <c r="E771" s="1" t="s">
        <v>16</v>
      </c>
      <c r="F771">
        <v>202</v>
      </c>
      <c r="G771">
        <v>1</v>
      </c>
      <c r="J771">
        <v>5.2</v>
      </c>
      <c r="K771">
        <v>23</v>
      </c>
    </row>
    <row r="772" spans="1:11" x14ac:dyDescent="0.3">
      <c r="A772">
        <v>2023</v>
      </c>
      <c r="B772">
        <v>81</v>
      </c>
      <c r="C772">
        <v>34</v>
      </c>
      <c r="D772" s="1">
        <v>1124</v>
      </c>
      <c r="E772" s="1" t="s">
        <v>16</v>
      </c>
      <c r="F772">
        <v>108</v>
      </c>
      <c r="G772">
        <v>1</v>
      </c>
      <c r="J772">
        <v>6.4</v>
      </c>
      <c r="K772">
        <v>41</v>
      </c>
    </row>
    <row r="773" spans="1:11" x14ac:dyDescent="0.3">
      <c r="A773">
        <v>2023</v>
      </c>
      <c r="B773">
        <v>81</v>
      </c>
      <c r="C773">
        <v>35</v>
      </c>
      <c r="D773" s="1">
        <v>1125</v>
      </c>
      <c r="E773" s="1" t="s">
        <v>24</v>
      </c>
      <c r="F773">
        <v>108</v>
      </c>
      <c r="G773">
        <v>0</v>
      </c>
      <c r="H773" t="s">
        <v>89</v>
      </c>
    </row>
    <row r="774" spans="1:11" x14ac:dyDescent="0.3">
      <c r="A774">
        <v>2023</v>
      </c>
      <c r="B774">
        <v>81</v>
      </c>
      <c r="C774">
        <v>36</v>
      </c>
      <c r="D774" s="1">
        <v>1126</v>
      </c>
      <c r="E774" s="1" t="s">
        <v>16</v>
      </c>
      <c r="F774">
        <v>108</v>
      </c>
      <c r="G774">
        <v>1</v>
      </c>
      <c r="J774">
        <v>6.5</v>
      </c>
      <c r="K774">
        <v>47</v>
      </c>
    </row>
    <row r="775" spans="1:11" x14ac:dyDescent="0.3">
      <c r="A775">
        <v>2023</v>
      </c>
      <c r="B775">
        <v>81</v>
      </c>
      <c r="C775">
        <v>37</v>
      </c>
      <c r="D775" s="1">
        <v>1127</v>
      </c>
      <c r="E775" s="1" t="s">
        <v>24</v>
      </c>
      <c r="F775">
        <v>108</v>
      </c>
      <c r="G775">
        <v>0</v>
      </c>
      <c r="H775" t="s">
        <v>89</v>
      </c>
    </row>
    <row r="776" spans="1:11" x14ac:dyDescent="0.3">
      <c r="A776">
        <v>2023</v>
      </c>
      <c r="B776">
        <v>81</v>
      </c>
      <c r="C776">
        <v>38</v>
      </c>
      <c r="D776" s="1">
        <v>1128</v>
      </c>
      <c r="E776" s="1" t="s">
        <v>16</v>
      </c>
      <c r="F776">
        <v>108</v>
      </c>
      <c r="G776">
        <v>1</v>
      </c>
      <c r="J776">
        <v>6.7</v>
      </c>
      <c r="K776">
        <v>48</v>
      </c>
    </row>
    <row r="777" spans="1:11" x14ac:dyDescent="0.3">
      <c r="A777">
        <v>2023</v>
      </c>
      <c r="B777">
        <v>81</v>
      </c>
      <c r="C777">
        <v>39</v>
      </c>
      <c r="D777" s="1">
        <v>1129</v>
      </c>
      <c r="E777" s="1" t="s">
        <v>16</v>
      </c>
      <c r="F777">
        <v>108</v>
      </c>
      <c r="G777">
        <v>1</v>
      </c>
      <c r="J777">
        <v>6.8</v>
      </c>
      <c r="K777">
        <v>49</v>
      </c>
    </row>
    <row r="778" spans="1:11" x14ac:dyDescent="0.3">
      <c r="A778">
        <v>2023</v>
      </c>
      <c r="B778">
        <v>81</v>
      </c>
      <c r="C778">
        <v>40</v>
      </c>
      <c r="D778" s="1">
        <v>1130</v>
      </c>
      <c r="E778" s="1" t="s">
        <v>16</v>
      </c>
      <c r="F778">
        <v>108</v>
      </c>
      <c r="G778">
        <v>1</v>
      </c>
      <c r="J778">
        <v>8</v>
      </c>
      <c r="K778">
        <v>46</v>
      </c>
    </row>
    <row r="779" spans="1:11" x14ac:dyDescent="0.3">
      <c r="A779">
        <v>2023</v>
      </c>
      <c r="B779">
        <v>81</v>
      </c>
      <c r="C779">
        <v>41</v>
      </c>
      <c r="D779" s="1">
        <v>1131</v>
      </c>
      <c r="E779" s="1" t="s">
        <v>16</v>
      </c>
      <c r="F779">
        <v>108</v>
      </c>
      <c r="G779">
        <v>1</v>
      </c>
      <c r="J779">
        <v>5.2</v>
      </c>
      <c r="K779">
        <v>42</v>
      </c>
    </row>
    <row r="780" spans="1:11" x14ac:dyDescent="0.3">
      <c r="A780">
        <v>2023</v>
      </c>
      <c r="B780">
        <v>81</v>
      </c>
      <c r="C780">
        <v>42</v>
      </c>
      <c r="D780" s="1">
        <v>1132</v>
      </c>
      <c r="E780" s="1" t="s">
        <v>16</v>
      </c>
      <c r="F780">
        <v>108</v>
      </c>
      <c r="G780">
        <v>1</v>
      </c>
      <c r="J780">
        <v>4.3</v>
      </c>
    </row>
    <row r="781" spans="1:11" x14ac:dyDescent="0.3">
      <c r="A781">
        <v>2023</v>
      </c>
      <c r="B781">
        <v>81</v>
      </c>
      <c r="C781">
        <v>43</v>
      </c>
      <c r="D781" s="1">
        <v>1133</v>
      </c>
      <c r="E781" s="1" t="s">
        <v>16</v>
      </c>
      <c r="F781">
        <v>202</v>
      </c>
      <c r="G781">
        <v>1</v>
      </c>
      <c r="J781">
        <v>3</v>
      </c>
    </row>
    <row r="782" spans="1:11" x14ac:dyDescent="0.3">
      <c r="A782">
        <v>2023</v>
      </c>
      <c r="B782">
        <v>81</v>
      </c>
      <c r="C782">
        <v>44</v>
      </c>
      <c r="D782" s="1">
        <v>1134</v>
      </c>
      <c r="E782" s="1" t="s">
        <v>16</v>
      </c>
      <c r="F782">
        <v>108</v>
      </c>
      <c r="G782">
        <v>1</v>
      </c>
      <c r="J782">
        <v>4.0999999999999996</v>
      </c>
    </row>
    <row r="783" spans="1:11" x14ac:dyDescent="0.3">
      <c r="A783">
        <v>2023</v>
      </c>
      <c r="B783">
        <v>81</v>
      </c>
      <c r="C783">
        <v>45</v>
      </c>
      <c r="D783" s="1">
        <v>4507</v>
      </c>
      <c r="E783" s="1" t="s">
        <v>97</v>
      </c>
      <c r="F783">
        <v>108</v>
      </c>
      <c r="G783">
        <v>1</v>
      </c>
      <c r="H783" t="s">
        <v>98</v>
      </c>
      <c r="J783">
        <v>5</v>
      </c>
      <c r="K783">
        <v>59</v>
      </c>
    </row>
    <row r="784" spans="1:11" x14ac:dyDescent="0.3">
      <c r="A784">
        <v>2023</v>
      </c>
      <c r="B784">
        <v>81</v>
      </c>
      <c r="C784">
        <v>46</v>
      </c>
      <c r="D784" s="1">
        <v>4508</v>
      </c>
      <c r="E784" s="1" t="s">
        <v>97</v>
      </c>
      <c r="F784">
        <v>108</v>
      </c>
      <c r="G784">
        <v>1</v>
      </c>
      <c r="H784" t="s">
        <v>98</v>
      </c>
      <c r="J784">
        <v>5.0999999999999996</v>
      </c>
      <c r="K784">
        <v>22</v>
      </c>
    </row>
    <row r="785" spans="1:16" x14ac:dyDescent="0.3">
      <c r="A785">
        <v>2023</v>
      </c>
      <c r="B785">
        <v>110</v>
      </c>
      <c r="C785">
        <v>1</v>
      </c>
      <c r="D785" s="1">
        <v>1671</v>
      </c>
      <c r="E785" s="1" t="s">
        <v>16</v>
      </c>
      <c r="F785">
        <v>202</v>
      </c>
      <c r="G785">
        <v>1</v>
      </c>
      <c r="J785">
        <v>14.9</v>
      </c>
      <c r="K785">
        <v>68</v>
      </c>
    </row>
    <row r="786" spans="1:16" x14ac:dyDescent="0.3">
      <c r="A786">
        <v>2023</v>
      </c>
      <c r="B786">
        <v>110</v>
      </c>
      <c r="C786">
        <v>2</v>
      </c>
      <c r="D786" s="1">
        <v>1672</v>
      </c>
      <c r="E786" s="1" t="s">
        <v>16</v>
      </c>
      <c r="F786">
        <v>202</v>
      </c>
      <c r="G786">
        <v>1</v>
      </c>
      <c r="J786">
        <v>12.4</v>
      </c>
      <c r="K786">
        <v>67</v>
      </c>
    </row>
    <row r="787" spans="1:16" x14ac:dyDescent="0.3">
      <c r="A787">
        <v>2023</v>
      </c>
      <c r="B787">
        <v>110</v>
      </c>
      <c r="C787">
        <v>3</v>
      </c>
      <c r="D787" s="1">
        <v>1673</v>
      </c>
      <c r="E787" s="1" t="s">
        <v>16</v>
      </c>
      <c r="F787">
        <v>202</v>
      </c>
      <c r="G787">
        <v>1</v>
      </c>
      <c r="J787">
        <v>13</v>
      </c>
      <c r="K787">
        <v>73</v>
      </c>
    </row>
    <row r="788" spans="1:16" x14ac:dyDescent="0.3">
      <c r="A788">
        <v>2023</v>
      </c>
      <c r="B788">
        <v>110</v>
      </c>
      <c r="C788">
        <v>4</v>
      </c>
      <c r="D788" s="1">
        <v>1674</v>
      </c>
      <c r="E788" s="1" t="s">
        <v>16</v>
      </c>
      <c r="F788">
        <v>202</v>
      </c>
      <c r="G788">
        <v>1</v>
      </c>
      <c r="J788">
        <v>8.8000000000000007</v>
      </c>
      <c r="K788">
        <v>72</v>
      </c>
    </row>
    <row r="789" spans="1:16" x14ac:dyDescent="0.3">
      <c r="A789">
        <v>2023</v>
      </c>
      <c r="B789">
        <v>110</v>
      </c>
      <c r="C789">
        <v>5</v>
      </c>
      <c r="D789" s="1">
        <v>1675</v>
      </c>
      <c r="E789" s="1" t="s">
        <v>34</v>
      </c>
      <c r="F789">
        <v>73</v>
      </c>
      <c r="G789">
        <v>2</v>
      </c>
      <c r="I789">
        <v>3</v>
      </c>
      <c r="J789">
        <v>9.6</v>
      </c>
      <c r="K789">
        <v>68</v>
      </c>
    </row>
    <row r="790" spans="1:16" x14ac:dyDescent="0.3">
      <c r="A790">
        <v>2023</v>
      </c>
      <c r="B790">
        <v>110</v>
      </c>
      <c r="C790">
        <v>6</v>
      </c>
      <c r="D790" s="1">
        <v>1676</v>
      </c>
      <c r="E790" s="1" t="s">
        <v>16</v>
      </c>
      <c r="F790">
        <v>202</v>
      </c>
      <c r="G790">
        <v>1</v>
      </c>
      <c r="J790">
        <v>17.2</v>
      </c>
      <c r="K790">
        <v>80</v>
      </c>
    </row>
    <row r="791" spans="1:16" x14ac:dyDescent="0.3">
      <c r="A791">
        <v>2023</v>
      </c>
      <c r="B791">
        <v>110</v>
      </c>
      <c r="C791">
        <v>7</v>
      </c>
      <c r="D791" s="1">
        <v>1677</v>
      </c>
      <c r="E791" s="1" t="s">
        <v>36</v>
      </c>
      <c r="F791">
        <v>202</v>
      </c>
      <c r="G791">
        <v>0</v>
      </c>
      <c r="H791" t="s">
        <v>93</v>
      </c>
      <c r="P791" t="s">
        <v>102</v>
      </c>
    </row>
    <row r="792" spans="1:16" x14ac:dyDescent="0.3">
      <c r="A792">
        <v>2023</v>
      </c>
      <c r="B792">
        <v>110</v>
      </c>
      <c r="C792">
        <v>8</v>
      </c>
      <c r="D792" s="1">
        <v>1678</v>
      </c>
      <c r="E792" s="1" t="s">
        <v>16</v>
      </c>
      <c r="F792">
        <v>202</v>
      </c>
      <c r="G792">
        <v>1</v>
      </c>
      <c r="J792">
        <v>14.9</v>
      </c>
      <c r="K792">
        <v>83</v>
      </c>
    </row>
    <row r="793" spans="1:16" x14ac:dyDescent="0.3">
      <c r="A793">
        <v>2023</v>
      </c>
      <c r="B793">
        <v>110</v>
      </c>
      <c r="C793">
        <v>9</v>
      </c>
      <c r="D793" s="1">
        <v>1679</v>
      </c>
      <c r="E793" s="1" t="s">
        <v>25</v>
      </c>
      <c r="F793">
        <v>202</v>
      </c>
      <c r="G793">
        <v>2</v>
      </c>
      <c r="I793">
        <v>1</v>
      </c>
      <c r="J793">
        <v>13.1</v>
      </c>
      <c r="K793">
        <v>74</v>
      </c>
      <c r="L793">
        <v>39</v>
      </c>
      <c r="M793" s="1">
        <v>63</v>
      </c>
      <c r="N793" s="1">
        <v>9</v>
      </c>
    </row>
    <row r="794" spans="1:16" x14ac:dyDescent="0.3">
      <c r="A794">
        <v>2023</v>
      </c>
      <c r="B794">
        <v>110</v>
      </c>
      <c r="C794">
        <v>10</v>
      </c>
      <c r="D794" s="1">
        <v>1680</v>
      </c>
      <c r="E794" s="1" t="s">
        <v>16</v>
      </c>
      <c r="F794">
        <v>202</v>
      </c>
      <c r="G794">
        <v>1</v>
      </c>
      <c r="J794">
        <v>11.6</v>
      </c>
      <c r="K794">
        <v>80</v>
      </c>
    </row>
    <row r="795" spans="1:16" x14ac:dyDescent="0.3">
      <c r="A795">
        <v>2023</v>
      </c>
      <c r="B795">
        <v>110</v>
      </c>
      <c r="C795">
        <v>11</v>
      </c>
      <c r="D795" s="1">
        <v>1681</v>
      </c>
      <c r="E795" s="1" t="s">
        <v>16</v>
      </c>
      <c r="F795">
        <v>202</v>
      </c>
      <c r="G795">
        <v>1</v>
      </c>
      <c r="J795">
        <v>13.1</v>
      </c>
      <c r="K795">
        <v>80</v>
      </c>
    </row>
    <row r="796" spans="1:16" x14ac:dyDescent="0.3">
      <c r="A796">
        <v>2023</v>
      </c>
      <c r="B796">
        <v>110</v>
      </c>
      <c r="C796">
        <v>12</v>
      </c>
      <c r="D796" s="1">
        <v>1682</v>
      </c>
      <c r="E796" s="1" t="s">
        <v>16</v>
      </c>
      <c r="F796">
        <v>202</v>
      </c>
      <c r="G796">
        <v>1</v>
      </c>
      <c r="J796">
        <v>11.3</v>
      </c>
      <c r="K796">
        <v>81</v>
      </c>
    </row>
    <row r="797" spans="1:16" x14ac:dyDescent="0.3">
      <c r="A797">
        <v>2023</v>
      </c>
      <c r="B797">
        <v>110</v>
      </c>
      <c r="C797">
        <v>13</v>
      </c>
      <c r="D797" s="1">
        <v>1683</v>
      </c>
      <c r="E797" s="1" t="s">
        <v>16</v>
      </c>
      <c r="F797">
        <v>202</v>
      </c>
      <c r="G797">
        <v>1</v>
      </c>
      <c r="J797">
        <v>14.8</v>
      </c>
      <c r="K797">
        <v>87</v>
      </c>
    </row>
    <row r="798" spans="1:16" x14ac:dyDescent="0.3">
      <c r="A798">
        <v>2023</v>
      </c>
      <c r="B798">
        <v>110</v>
      </c>
      <c r="C798">
        <v>14</v>
      </c>
      <c r="D798" s="1">
        <v>1684</v>
      </c>
      <c r="E798" s="1" t="s">
        <v>25</v>
      </c>
      <c r="F798">
        <v>202</v>
      </c>
      <c r="G798">
        <v>2</v>
      </c>
      <c r="I798">
        <v>2</v>
      </c>
      <c r="J798">
        <v>7.7</v>
      </c>
      <c r="K798">
        <v>56</v>
      </c>
    </row>
    <row r="799" spans="1:16" x14ac:dyDescent="0.3">
      <c r="A799">
        <v>2023</v>
      </c>
      <c r="B799">
        <v>110</v>
      </c>
      <c r="C799">
        <v>15</v>
      </c>
      <c r="D799" s="1">
        <v>1685</v>
      </c>
      <c r="E799" s="1" t="s">
        <v>16</v>
      </c>
      <c r="F799">
        <v>73</v>
      </c>
      <c r="G799">
        <v>1</v>
      </c>
      <c r="J799">
        <v>11.7</v>
      </c>
      <c r="K799">
        <v>85</v>
      </c>
    </row>
    <row r="800" spans="1:16" x14ac:dyDescent="0.3">
      <c r="A800">
        <v>2023</v>
      </c>
      <c r="B800">
        <v>110</v>
      </c>
      <c r="C800">
        <v>16</v>
      </c>
      <c r="D800" s="1">
        <v>1686</v>
      </c>
      <c r="E800" s="1" t="s">
        <v>16</v>
      </c>
      <c r="F800">
        <v>73</v>
      </c>
      <c r="G800">
        <v>1</v>
      </c>
      <c r="J800">
        <v>13</v>
      </c>
      <c r="K800">
        <v>77</v>
      </c>
      <c r="L800">
        <v>59</v>
      </c>
      <c r="M800" s="1">
        <v>63</v>
      </c>
      <c r="N800" s="1">
        <v>5</v>
      </c>
    </row>
    <row r="801" spans="1:14" x14ac:dyDescent="0.3">
      <c r="A801">
        <v>2023</v>
      </c>
      <c r="B801">
        <v>110</v>
      </c>
      <c r="C801">
        <v>17</v>
      </c>
      <c r="D801" s="1">
        <v>1687</v>
      </c>
      <c r="E801" s="1" t="s">
        <v>25</v>
      </c>
      <c r="F801">
        <v>73</v>
      </c>
      <c r="G801">
        <v>2</v>
      </c>
      <c r="I801">
        <v>1</v>
      </c>
      <c r="J801">
        <v>6.3</v>
      </c>
      <c r="K801">
        <v>50</v>
      </c>
      <c r="L801">
        <v>40</v>
      </c>
      <c r="M801" s="1">
        <v>29</v>
      </c>
      <c r="N801" s="1">
        <v>2</v>
      </c>
    </row>
    <row r="802" spans="1:14" x14ac:dyDescent="0.3">
      <c r="A802">
        <v>2023</v>
      </c>
      <c r="B802">
        <v>110</v>
      </c>
      <c r="C802">
        <v>18</v>
      </c>
      <c r="D802" s="1">
        <v>1688</v>
      </c>
      <c r="E802" s="1" t="s">
        <v>16</v>
      </c>
      <c r="F802">
        <v>73</v>
      </c>
      <c r="G802">
        <v>1</v>
      </c>
      <c r="J802">
        <v>15.4</v>
      </c>
      <c r="K802">
        <v>84</v>
      </c>
    </row>
    <row r="803" spans="1:14" x14ac:dyDescent="0.3">
      <c r="A803">
        <v>2023</v>
      </c>
      <c r="B803">
        <v>110</v>
      </c>
      <c r="C803">
        <v>19</v>
      </c>
      <c r="D803" s="1">
        <v>1689</v>
      </c>
      <c r="E803" s="1" t="s">
        <v>25</v>
      </c>
      <c r="F803">
        <v>202</v>
      </c>
      <c r="G803">
        <v>2</v>
      </c>
      <c r="I803">
        <v>1</v>
      </c>
      <c r="J803">
        <v>6.5</v>
      </c>
      <c r="K803">
        <v>57</v>
      </c>
      <c r="L803">
        <v>33</v>
      </c>
      <c r="M803" s="1">
        <v>37</v>
      </c>
      <c r="N803" s="1">
        <v>5</v>
      </c>
    </row>
    <row r="804" spans="1:14" x14ac:dyDescent="0.3">
      <c r="A804">
        <v>2023</v>
      </c>
      <c r="B804">
        <v>110</v>
      </c>
      <c r="C804">
        <v>20</v>
      </c>
      <c r="D804" s="1">
        <v>1690</v>
      </c>
      <c r="E804" s="1" t="s">
        <v>16</v>
      </c>
      <c r="F804">
        <v>202</v>
      </c>
      <c r="G804">
        <v>1</v>
      </c>
      <c r="J804">
        <v>13.6</v>
      </c>
      <c r="K804">
        <v>67</v>
      </c>
    </row>
    <row r="805" spans="1:14" x14ac:dyDescent="0.3">
      <c r="A805">
        <v>2023</v>
      </c>
      <c r="B805">
        <v>117</v>
      </c>
      <c r="C805">
        <v>1</v>
      </c>
      <c r="D805" s="1">
        <v>1778</v>
      </c>
      <c r="E805" s="1" t="s">
        <v>16</v>
      </c>
      <c r="F805">
        <v>202</v>
      </c>
      <c r="G805">
        <v>1</v>
      </c>
      <c r="J805">
        <v>8.6999999999999993</v>
      </c>
      <c r="K805">
        <v>41</v>
      </c>
    </row>
    <row r="806" spans="1:14" x14ac:dyDescent="0.3">
      <c r="A806">
        <v>2023</v>
      </c>
      <c r="B806">
        <v>117</v>
      </c>
      <c r="C806">
        <v>2</v>
      </c>
      <c r="D806" s="1">
        <v>1779</v>
      </c>
      <c r="E806" s="1" t="s">
        <v>16</v>
      </c>
      <c r="F806">
        <v>202</v>
      </c>
      <c r="G806">
        <v>1</v>
      </c>
      <c r="J806">
        <v>7.8</v>
      </c>
      <c r="K806">
        <v>44</v>
      </c>
    </row>
    <row r="807" spans="1:14" x14ac:dyDescent="0.3">
      <c r="A807">
        <v>2023</v>
      </c>
      <c r="B807">
        <v>117</v>
      </c>
      <c r="C807">
        <v>3</v>
      </c>
      <c r="D807" s="1">
        <v>1780</v>
      </c>
      <c r="E807" s="1" t="s">
        <v>16</v>
      </c>
      <c r="F807">
        <v>202</v>
      </c>
      <c r="G807">
        <v>1</v>
      </c>
      <c r="J807">
        <v>13.3</v>
      </c>
      <c r="K807">
        <v>61</v>
      </c>
    </row>
    <row r="808" spans="1:14" x14ac:dyDescent="0.3">
      <c r="A808">
        <v>2023</v>
      </c>
      <c r="B808">
        <v>117</v>
      </c>
      <c r="C808">
        <v>4</v>
      </c>
      <c r="D808" s="1">
        <v>1781</v>
      </c>
      <c r="E808" s="1" t="s">
        <v>16</v>
      </c>
      <c r="F808">
        <v>202</v>
      </c>
      <c r="G808">
        <v>1</v>
      </c>
      <c r="J808">
        <v>13.8</v>
      </c>
      <c r="K808">
        <v>60</v>
      </c>
    </row>
    <row r="809" spans="1:14" x14ac:dyDescent="0.3">
      <c r="A809">
        <v>2023</v>
      </c>
      <c r="B809">
        <v>117</v>
      </c>
      <c r="C809">
        <v>5</v>
      </c>
      <c r="D809" s="1">
        <v>1782</v>
      </c>
      <c r="E809" s="1" t="s">
        <v>16</v>
      </c>
      <c r="F809">
        <v>202</v>
      </c>
      <c r="G809">
        <v>1</v>
      </c>
      <c r="J809">
        <v>26.1</v>
      </c>
      <c r="K809">
        <v>89</v>
      </c>
    </row>
    <row r="810" spans="1:14" x14ac:dyDescent="0.3">
      <c r="A810">
        <v>2023</v>
      </c>
      <c r="B810">
        <v>117</v>
      </c>
      <c r="C810">
        <v>6</v>
      </c>
      <c r="D810" s="1">
        <v>1783</v>
      </c>
      <c r="E810" s="1" t="s">
        <v>16</v>
      </c>
      <c r="F810">
        <v>73</v>
      </c>
      <c r="G810">
        <v>1</v>
      </c>
      <c r="J810">
        <v>12.1</v>
      </c>
      <c r="K810">
        <v>58</v>
      </c>
    </row>
    <row r="811" spans="1:14" x14ac:dyDescent="0.3">
      <c r="A811">
        <v>2023</v>
      </c>
      <c r="B811">
        <v>117</v>
      </c>
      <c r="C811">
        <v>7</v>
      </c>
      <c r="D811" s="1">
        <v>1784</v>
      </c>
      <c r="E811" s="1" t="s">
        <v>19</v>
      </c>
      <c r="F811">
        <v>202</v>
      </c>
      <c r="G811">
        <v>0</v>
      </c>
      <c r="H811" t="s">
        <v>89</v>
      </c>
    </row>
    <row r="812" spans="1:14" x14ac:dyDescent="0.3">
      <c r="A812">
        <v>2023</v>
      </c>
      <c r="B812">
        <v>117</v>
      </c>
      <c r="C812">
        <v>8</v>
      </c>
      <c r="D812" s="1">
        <v>1785</v>
      </c>
      <c r="E812" s="1" t="s">
        <v>16</v>
      </c>
      <c r="F812">
        <v>202</v>
      </c>
      <c r="G812">
        <v>1</v>
      </c>
      <c r="J812">
        <v>3.4</v>
      </c>
    </row>
    <row r="813" spans="1:14" x14ac:dyDescent="0.3">
      <c r="A813">
        <v>2023</v>
      </c>
      <c r="B813">
        <v>117</v>
      </c>
      <c r="C813">
        <v>9</v>
      </c>
      <c r="D813" s="1">
        <v>1786</v>
      </c>
      <c r="E813" s="1" t="s">
        <v>16</v>
      </c>
      <c r="F813">
        <v>202</v>
      </c>
      <c r="G813">
        <v>1</v>
      </c>
      <c r="J813">
        <v>2.2000000000000002</v>
      </c>
    </row>
    <row r="814" spans="1:14" x14ac:dyDescent="0.3">
      <c r="A814">
        <v>2023</v>
      </c>
      <c r="B814">
        <v>117</v>
      </c>
      <c r="C814">
        <v>10</v>
      </c>
      <c r="D814" s="1">
        <v>1787</v>
      </c>
      <c r="E814" s="1" t="s">
        <v>16</v>
      </c>
      <c r="F814">
        <v>202</v>
      </c>
      <c r="G814">
        <v>1</v>
      </c>
      <c r="J814">
        <v>1.4</v>
      </c>
    </row>
    <row r="815" spans="1:14" x14ac:dyDescent="0.3">
      <c r="A815">
        <v>2023</v>
      </c>
      <c r="B815">
        <v>117</v>
      </c>
      <c r="C815">
        <v>11</v>
      </c>
      <c r="D815" s="1">
        <v>1788</v>
      </c>
      <c r="E815" s="1" t="s">
        <v>16</v>
      </c>
      <c r="F815">
        <v>202</v>
      </c>
      <c r="G815">
        <v>1</v>
      </c>
      <c r="J815">
        <v>2.2999999999999998</v>
      </c>
    </row>
    <row r="816" spans="1:14" x14ac:dyDescent="0.3">
      <c r="A816">
        <v>2023</v>
      </c>
      <c r="B816">
        <v>117</v>
      </c>
      <c r="C816">
        <v>12</v>
      </c>
      <c r="D816" s="1">
        <v>1789</v>
      </c>
      <c r="E816" s="1" t="s">
        <v>19</v>
      </c>
      <c r="F816">
        <v>202</v>
      </c>
      <c r="G816">
        <v>0</v>
      </c>
      <c r="H816" t="s">
        <v>89</v>
      </c>
    </row>
    <row r="817" spans="1:14" x14ac:dyDescent="0.3">
      <c r="A817">
        <v>2023</v>
      </c>
      <c r="B817">
        <v>118</v>
      </c>
      <c r="C817">
        <v>1</v>
      </c>
      <c r="D817" s="1">
        <v>1790</v>
      </c>
      <c r="E817" s="1" t="s">
        <v>16</v>
      </c>
      <c r="F817">
        <v>202</v>
      </c>
      <c r="G817">
        <v>1</v>
      </c>
      <c r="J817">
        <v>10.9</v>
      </c>
      <c r="K817">
        <v>54</v>
      </c>
    </row>
    <row r="818" spans="1:14" x14ac:dyDescent="0.3">
      <c r="A818">
        <v>2023</v>
      </c>
      <c r="B818">
        <v>118</v>
      </c>
      <c r="C818">
        <v>2</v>
      </c>
      <c r="D818" s="1">
        <v>1791</v>
      </c>
      <c r="E818" s="1" t="s">
        <v>16</v>
      </c>
      <c r="F818">
        <v>202</v>
      </c>
      <c r="G818">
        <v>1</v>
      </c>
      <c r="J818">
        <v>18.7</v>
      </c>
      <c r="K818">
        <v>75</v>
      </c>
    </row>
    <row r="819" spans="1:14" x14ac:dyDescent="0.3">
      <c r="A819">
        <v>2023</v>
      </c>
      <c r="B819">
        <v>118</v>
      </c>
      <c r="C819">
        <v>3</v>
      </c>
      <c r="D819" s="1">
        <v>1792</v>
      </c>
      <c r="E819" s="1" t="s">
        <v>34</v>
      </c>
      <c r="F819">
        <v>202</v>
      </c>
      <c r="G819">
        <v>2</v>
      </c>
      <c r="I819">
        <v>1</v>
      </c>
      <c r="J819">
        <v>5.9</v>
      </c>
      <c r="K819">
        <v>23</v>
      </c>
    </row>
    <row r="820" spans="1:14" x14ac:dyDescent="0.3">
      <c r="A820">
        <v>2023</v>
      </c>
      <c r="B820">
        <v>118</v>
      </c>
      <c r="C820">
        <v>4</v>
      </c>
      <c r="D820" s="1">
        <v>1793</v>
      </c>
      <c r="E820" s="1" t="s">
        <v>16</v>
      </c>
      <c r="F820">
        <v>202</v>
      </c>
      <c r="G820">
        <v>1</v>
      </c>
      <c r="J820">
        <v>9.8000000000000007</v>
      </c>
      <c r="K820">
        <v>68</v>
      </c>
    </row>
    <row r="821" spans="1:14" x14ac:dyDescent="0.3">
      <c r="A821">
        <v>2023</v>
      </c>
      <c r="B821">
        <v>118</v>
      </c>
      <c r="C821">
        <v>5</v>
      </c>
      <c r="D821" s="1">
        <v>1794</v>
      </c>
      <c r="E821" s="1" t="s">
        <v>16</v>
      </c>
      <c r="F821">
        <v>202</v>
      </c>
      <c r="G821">
        <v>1</v>
      </c>
      <c r="J821">
        <v>11.5</v>
      </c>
      <c r="K821">
        <v>62</v>
      </c>
    </row>
    <row r="822" spans="1:14" x14ac:dyDescent="0.3">
      <c r="A822">
        <v>2023</v>
      </c>
      <c r="B822">
        <v>118</v>
      </c>
      <c r="C822">
        <v>6</v>
      </c>
      <c r="D822" s="1">
        <v>1795</v>
      </c>
      <c r="E822" s="1" t="s">
        <v>16</v>
      </c>
      <c r="F822">
        <v>202</v>
      </c>
      <c r="G822">
        <v>1</v>
      </c>
      <c r="J822">
        <v>18.3</v>
      </c>
      <c r="K822">
        <v>76</v>
      </c>
    </row>
    <row r="823" spans="1:14" x14ac:dyDescent="0.3">
      <c r="A823">
        <v>2023</v>
      </c>
      <c r="B823">
        <v>118</v>
      </c>
      <c r="C823">
        <v>7</v>
      </c>
      <c r="D823" s="1">
        <v>1796</v>
      </c>
      <c r="E823" s="1" t="s">
        <v>16</v>
      </c>
      <c r="F823">
        <v>202</v>
      </c>
      <c r="G823">
        <v>1</v>
      </c>
      <c r="J823">
        <v>7.4</v>
      </c>
      <c r="K823">
        <v>47</v>
      </c>
    </row>
    <row r="824" spans="1:14" x14ac:dyDescent="0.3">
      <c r="A824">
        <v>2023</v>
      </c>
      <c r="B824">
        <v>118</v>
      </c>
      <c r="C824">
        <v>8</v>
      </c>
      <c r="D824" s="1">
        <v>1797</v>
      </c>
      <c r="E824" s="1" t="s">
        <v>16</v>
      </c>
      <c r="F824">
        <v>202</v>
      </c>
      <c r="G824">
        <v>1</v>
      </c>
      <c r="J824">
        <v>9.8000000000000007</v>
      </c>
      <c r="K824">
        <v>54</v>
      </c>
    </row>
    <row r="825" spans="1:14" x14ac:dyDescent="0.3">
      <c r="A825">
        <v>2023</v>
      </c>
      <c r="B825">
        <v>118</v>
      </c>
      <c r="C825">
        <v>9</v>
      </c>
      <c r="D825" s="1">
        <v>1798</v>
      </c>
      <c r="E825" s="1" t="s">
        <v>16</v>
      </c>
      <c r="F825">
        <v>202</v>
      </c>
      <c r="G825">
        <v>1</v>
      </c>
      <c r="J825">
        <v>16.100000000000001</v>
      </c>
      <c r="K825">
        <v>74</v>
      </c>
    </row>
    <row r="826" spans="1:14" x14ac:dyDescent="0.3">
      <c r="A826">
        <v>2023</v>
      </c>
      <c r="B826">
        <v>118</v>
      </c>
      <c r="C826">
        <v>10</v>
      </c>
      <c r="D826" s="1">
        <v>1799</v>
      </c>
      <c r="E826" s="1" t="s">
        <v>25</v>
      </c>
      <c r="F826">
        <v>202</v>
      </c>
      <c r="G826">
        <v>2</v>
      </c>
      <c r="I826">
        <v>2</v>
      </c>
      <c r="J826">
        <v>6.6</v>
      </c>
      <c r="K826">
        <v>42</v>
      </c>
      <c r="L826">
        <v>19</v>
      </c>
      <c r="M826" s="1">
        <v>25</v>
      </c>
      <c r="N826" s="1">
        <v>5</v>
      </c>
    </row>
    <row r="827" spans="1:14" x14ac:dyDescent="0.3">
      <c r="A827">
        <v>2023</v>
      </c>
      <c r="B827">
        <v>118</v>
      </c>
      <c r="C827">
        <v>11</v>
      </c>
      <c r="D827" s="1">
        <v>1800</v>
      </c>
      <c r="E827" s="1" t="s">
        <v>16</v>
      </c>
      <c r="F827">
        <v>202</v>
      </c>
      <c r="G827">
        <v>1</v>
      </c>
      <c r="J827">
        <v>7.1</v>
      </c>
      <c r="K827">
        <v>32</v>
      </c>
    </row>
    <row r="828" spans="1:14" x14ac:dyDescent="0.3">
      <c r="A828">
        <v>2023</v>
      </c>
      <c r="B828">
        <v>118</v>
      </c>
      <c r="C828">
        <v>12</v>
      </c>
      <c r="D828" s="1">
        <v>1801</v>
      </c>
      <c r="E828" s="1" t="s">
        <v>16</v>
      </c>
      <c r="F828">
        <v>202</v>
      </c>
      <c r="G828">
        <v>1</v>
      </c>
      <c r="J828">
        <v>15.9</v>
      </c>
      <c r="K828">
        <v>78</v>
      </c>
    </row>
    <row r="829" spans="1:14" x14ac:dyDescent="0.3">
      <c r="A829">
        <v>2023</v>
      </c>
      <c r="B829">
        <v>118</v>
      </c>
      <c r="C829">
        <v>13</v>
      </c>
      <c r="D829" s="1">
        <v>1802</v>
      </c>
      <c r="E829" s="1" t="s">
        <v>16</v>
      </c>
      <c r="F829">
        <v>202</v>
      </c>
      <c r="G829">
        <v>1</v>
      </c>
      <c r="J829">
        <v>15.3</v>
      </c>
      <c r="K829">
        <v>69</v>
      </c>
    </row>
    <row r="830" spans="1:14" x14ac:dyDescent="0.3">
      <c r="A830">
        <v>2023</v>
      </c>
      <c r="B830">
        <v>118</v>
      </c>
      <c r="C830">
        <v>14</v>
      </c>
      <c r="D830" s="1">
        <v>1803</v>
      </c>
      <c r="E830" s="1" t="s">
        <v>16</v>
      </c>
      <c r="F830">
        <v>202</v>
      </c>
      <c r="G830">
        <v>1</v>
      </c>
      <c r="J830">
        <v>21.2</v>
      </c>
      <c r="K830">
        <v>82</v>
      </c>
    </row>
    <row r="831" spans="1:14" x14ac:dyDescent="0.3">
      <c r="A831">
        <v>2023</v>
      </c>
      <c r="B831">
        <v>118</v>
      </c>
      <c r="C831">
        <v>15</v>
      </c>
      <c r="D831" s="1">
        <v>1804</v>
      </c>
      <c r="E831" s="1" t="s">
        <v>16</v>
      </c>
      <c r="F831">
        <v>202</v>
      </c>
      <c r="G831">
        <v>1</v>
      </c>
      <c r="J831">
        <v>6.2</v>
      </c>
      <c r="K831">
        <v>40</v>
      </c>
    </row>
    <row r="832" spans="1:14" x14ac:dyDescent="0.3">
      <c r="A832">
        <v>2023</v>
      </c>
      <c r="B832">
        <v>118</v>
      </c>
      <c r="C832">
        <v>16</v>
      </c>
      <c r="D832" s="1">
        <v>1805</v>
      </c>
      <c r="E832" s="1" t="s">
        <v>16</v>
      </c>
      <c r="F832">
        <v>202</v>
      </c>
      <c r="G832">
        <v>1</v>
      </c>
      <c r="J832">
        <v>15.6</v>
      </c>
      <c r="K832">
        <v>88</v>
      </c>
    </row>
    <row r="833" spans="1:16" x14ac:dyDescent="0.3">
      <c r="A833">
        <v>2023</v>
      </c>
      <c r="B833">
        <v>118</v>
      </c>
      <c r="C833">
        <v>17</v>
      </c>
      <c r="D833" s="1">
        <v>1806</v>
      </c>
      <c r="E833" s="1" t="s">
        <v>16</v>
      </c>
      <c r="F833">
        <v>202</v>
      </c>
      <c r="G833">
        <v>1</v>
      </c>
      <c r="J833">
        <v>18.100000000000001</v>
      </c>
      <c r="K833">
        <v>82</v>
      </c>
    </row>
    <row r="834" spans="1:16" x14ac:dyDescent="0.3">
      <c r="A834">
        <v>2023</v>
      </c>
      <c r="B834">
        <v>118</v>
      </c>
      <c r="C834">
        <v>18</v>
      </c>
      <c r="D834" s="1">
        <v>1807</v>
      </c>
      <c r="E834" s="1" t="s">
        <v>16</v>
      </c>
      <c r="F834">
        <v>202</v>
      </c>
      <c r="G834">
        <v>1</v>
      </c>
      <c r="J834">
        <v>13.4</v>
      </c>
      <c r="K834">
        <v>65</v>
      </c>
    </row>
    <row r="835" spans="1:16" x14ac:dyDescent="0.3">
      <c r="A835">
        <v>2023</v>
      </c>
      <c r="B835">
        <v>141</v>
      </c>
      <c r="C835">
        <v>1</v>
      </c>
      <c r="D835" s="1">
        <v>2140</v>
      </c>
      <c r="E835" s="1" t="s">
        <v>16</v>
      </c>
      <c r="F835">
        <v>202</v>
      </c>
      <c r="G835">
        <v>1</v>
      </c>
      <c r="J835">
        <v>11.9</v>
      </c>
      <c r="K835">
        <v>55</v>
      </c>
    </row>
    <row r="836" spans="1:16" x14ac:dyDescent="0.3">
      <c r="A836">
        <v>2023</v>
      </c>
      <c r="B836">
        <v>141</v>
      </c>
      <c r="C836">
        <v>2</v>
      </c>
      <c r="D836" s="1">
        <v>2141</v>
      </c>
      <c r="E836" s="1" t="s">
        <v>16</v>
      </c>
      <c r="F836">
        <v>202</v>
      </c>
      <c r="G836">
        <v>1</v>
      </c>
      <c r="J836">
        <v>11.6</v>
      </c>
      <c r="K836">
        <v>55</v>
      </c>
    </row>
    <row r="837" spans="1:16" x14ac:dyDescent="0.3">
      <c r="A837">
        <v>2023</v>
      </c>
      <c r="B837">
        <v>141</v>
      </c>
      <c r="C837">
        <v>3</v>
      </c>
      <c r="D837" s="1">
        <v>2142</v>
      </c>
      <c r="E837" s="1" t="s">
        <v>16</v>
      </c>
      <c r="F837">
        <v>202</v>
      </c>
      <c r="G837">
        <v>1</v>
      </c>
      <c r="J837">
        <v>14.5</v>
      </c>
      <c r="K837">
        <v>70</v>
      </c>
    </row>
    <row r="838" spans="1:16" x14ac:dyDescent="0.3">
      <c r="A838">
        <v>2023</v>
      </c>
      <c r="B838">
        <v>141</v>
      </c>
      <c r="C838">
        <v>4</v>
      </c>
      <c r="D838" s="1">
        <v>2143</v>
      </c>
      <c r="E838" s="1" t="s">
        <v>16</v>
      </c>
      <c r="F838">
        <v>73</v>
      </c>
      <c r="G838">
        <v>1</v>
      </c>
      <c r="J838">
        <v>5.0999999999999996</v>
      </c>
      <c r="K838">
        <v>45</v>
      </c>
      <c r="L838">
        <v>39</v>
      </c>
      <c r="M838" s="1">
        <v>25</v>
      </c>
      <c r="N838" s="1">
        <v>2</v>
      </c>
    </row>
    <row r="839" spans="1:16" x14ac:dyDescent="0.3">
      <c r="A839">
        <v>2023</v>
      </c>
      <c r="B839">
        <v>141</v>
      </c>
      <c r="C839">
        <v>5</v>
      </c>
      <c r="D839" s="1">
        <v>2144</v>
      </c>
      <c r="E839" s="1" t="s">
        <v>16</v>
      </c>
      <c r="F839">
        <v>73</v>
      </c>
      <c r="G839">
        <v>1</v>
      </c>
      <c r="J839">
        <v>5.2</v>
      </c>
      <c r="K839">
        <v>41</v>
      </c>
    </row>
    <row r="840" spans="1:16" x14ac:dyDescent="0.3">
      <c r="A840">
        <v>2023</v>
      </c>
      <c r="B840">
        <v>141</v>
      </c>
      <c r="C840">
        <v>6</v>
      </c>
      <c r="D840" s="1">
        <v>2145</v>
      </c>
      <c r="E840" s="1" t="s">
        <v>16</v>
      </c>
      <c r="F840">
        <v>73</v>
      </c>
      <c r="G840">
        <v>1</v>
      </c>
      <c r="J840">
        <v>6.6</v>
      </c>
      <c r="K840">
        <v>49</v>
      </c>
    </row>
    <row r="841" spans="1:16" x14ac:dyDescent="0.3">
      <c r="A841">
        <v>2023</v>
      </c>
      <c r="B841">
        <v>141</v>
      </c>
      <c r="C841">
        <v>7</v>
      </c>
      <c r="D841" s="1">
        <v>2146</v>
      </c>
      <c r="E841" s="1" t="s">
        <v>16</v>
      </c>
      <c r="F841">
        <v>73</v>
      </c>
      <c r="G841">
        <v>1</v>
      </c>
      <c r="J841">
        <v>9.6</v>
      </c>
      <c r="K841">
        <v>64</v>
      </c>
    </row>
    <row r="842" spans="1:16" x14ac:dyDescent="0.3">
      <c r="A842">
        <v>2023</v>
      </c>
      <c r="B842">
        <v>141</v>
      </c>
      <c r="C842">
        <v>8</v>
      </c>
      <c r="D842" s="1">
        <v>2147</v>
      </c>
      <c r="E842" s="1" t="s">
        <v>16</v>
      </c>
      <c r="F842">
        <v>73</v>
      </c>
      <c r="G842">
        <v>1</v>
      </c>
      <c r="J842">
        <v>6.8</v>
      </c>
      <c r="K842">
        <v>55</v>
      </c>
    </row>
    <row r="843" spans="1:16" x14ac:dyDescent="0.3">
      <c r="A843">
        <v>2023</v>
      </c>
      <c r="B843">
        <v>141</v>
      </c>
      <c r="C843">
        <v>9</v>
      </c>
      <c r="D843" s="1">
        <v>2148</v>
      </c>
      <c r="E843" s="1" t="s">
        <v>16</v>
      </c>
      <c r="F843">
        <v>73</v>
      </c>
      <c r="G843">
        <v>1</v>
      </c>
      <c r="J843">
        <v>5.0999999999999996</v>
      </c>
      <c r="K843">
        <v>36</v>
      </c>
    </row>
    <row r="844" spans="1:16" x14ac:dyDescent="0.3">
      <c r="A844">
        <v>2023</v>
      </c>
      <c r="B844">
        <v>141</v>
      </c>
      <c r="C844">
        <v>10</v>
      </c>
      <c r="D844" s="1">
        <v>2149</v>
      </c>
      <c r="E844" s="1" t="s">
        <v>16</v>
      </c>
      <c r="F844">
        <v>202</v>
      </c>
      <c r="G844">
        <v>1</v>
      </c>
      <c r="J844">
        <v>11.1</v>
      </c>
      <c r="K844">
        <v>54</v>
      </c>
    </row>
    <row r="845" spans="1:16" x14ac:dyDescent="0.3">
      <c r="A845">
        <v>2023</v>
      </c>
      <c r="B845">
        <v>141</v>
      </c>
      <c r="C845">
        <v>11</v>
      </c>
      <c r="D845" s="1">
        <v>2150</v>
      </c>
      <c r="E845" s="1" t="s">
        <v>16</v>
      </c>
      <c r="F845">
        <v>202</v>
      </c>
      <c r="G845">
        <v>1</v>
      </c>
      <c r="J845">
        <v>13.3</v>
      </c>
      <c r="K845">
        <v>45</v>
      </c>
    </row>
    <row r="846" spans="1:16" x14ac:dyDescent="0.3">
      <c r="A846">
        <v>2023</v>
      </c>
      <c r="B846">
        <v>141</v>
      </c>
      <c r="C846">
        <v>12</v>
      </c>
      <c r="D846" s="1">
        <v>2151</v>
      </c>
      <c r="E846" s="1" t="s">
        <v>34</v>
      </c>
      <c r="F846">
        <v>202</v>
      </c>
      <c r="G846">
        <v>2</v>
      </c>
      <c r="I846">
        <v>3</v>
      </c>
      <c r="J846">
        <v>10.3</v>
      </c>
      <c r="K846">
        <v>43</v>
      </c>
      <c r="O846">
        <v>40</v>
      </c>
      <c r="P846" t="s">
        <v>103</v>
      </c>
    </row>
    <row r="847" spans="1:16" x14ac:dyDescent="0.3">
      <c r="A847">
        <v>2023</v>
      </c>
      <c r="B847">
        <v>141</v>
      </c>
      <c r="C847">
        <v>13</v>
      </c>
      <c r="D847" s="1">
        <v>2152</v>
      </c>
      <c r="E847" s="1" t="s">
        <v>16</v>
      </c>
      <c r="F847">
        <v>202</v>
      </c>
      <c r="G847">
        <v>1</v>
      </c>
      <c r="J847">
        <v>16.5</v>
      </c>
      <c r="K847">
        <v>71</v>
      </c>
    </row>
    <row r="848" spans="1:16" x14ac:dyDescent="0.3">
      <c r="A848">
        <v>2023</v>
      </c>
      <c r="B848">
        <v>141</v>
      </c>
      <c r="C848">
        <v>14</v>
      </c>
      <c r="D848" s="1">
        <v>2153</v>
      </c>
      <c r="E848" s="1" t="s">
        <v>16</v>
      </c>
      <c r="F848">
        <v>202</v>
      </c>
      <c r="G848">
        <v>1</v>
      </c>
      <c r="J848">
        <v>11.1</v>
      </c>
      <c r="K848">
        <v>69</v>
      </c>
    </row>
    <row r="849" spans="1:16" x14ac:dyDescent="0.3">
      <c r="A849">
        <v>2023</v>
      </c>
      <c r="B849">
        <v>141</v>
      </c>
      <c r="C849">
        <v>15</v>
      </c>
      <c r="D849" s="1">
        <v>2154</v>
      </c>
      <c r="E849" s="1" t="s">
        <v>16</v>
      </c>
      <c r="F849">
        <v>202</v>
      </c>
      <c r="G849">
        <v>1</v>
      </c>
      <c r="J849">
        <v>14.9</v>
      </c>
      <c r="K849">
        <v>77</v>
      </c>
    </row>
    <row r="850" spans="1:16" x14ac:dyDescent="0.3">
      <c r="A850">
        <v>2023</v>
      </c>
      <c r="B850">
        <v>141</v>
      </c>
      <c r="C850">
        <v>16</v>
      </c>
      <c r="D850" s="1">
        <v>2155</v>
      </c>
      <c r="E850" s="1" t="s">
        <v>19</v>
      </c>
      <c r="F850">
        <v>202</v>
      </c>
      <c r="G850">
        <v>0</v>
      </c>
      <c r="H850" t="s">
        <v>89</v>
      </c>
      <c r="P850" t="s">
        <v>104</v>
      </c>
    </row>
    <row r="851" spans="1:16" x14ac:dyDescent="0.3">
      <c r="A851">
        <v>2023</v>
      </c>
      <c r="B851">
        <v>141</v>
      </c>
      <c r="C851">
        <v>17</v>
      </c>
      <c r="D851" s="1">
        <v>2156</v>
      </c>
      <c r="E851" s="1" t="s">
        <v>16</v>
      </c>
      <c r="F851">
        <v>202</v>
      </c>
      <c r="G851">
        <v>1</v>
      </c>
      <c r="J851">
        <v>15.2</v>
      </c>
      <c r="K851">
        <v>81</v>
      </c>
    </row>
    <row r="852" spans="1:16" x14ac:dyDescent="0.3">
      <c r="A852">
        <v>2023</v>
      </c>
      <c r="B852">
        <v>149</v>
      </c>
      <c r="C852">
        <v>1</v>
      </c>
      <c r="D852" s="1">
        <v>2281</v>
      </c>
      <c r="E852" s="1" t="s">
        <v>35</v>
      </c>
      <c r="F852">
        <v>202</v>
      </c>
      <c r="G852">
        <v>3</v>
      </c>
    </row>
    <row r="853" spans="1:16" x14ac:dyDescent="0.3">
      <c r="A853">
        <v>2023</v>
      </c>
      <c r="B853">
        <v>149</v>
      </c>
      <c r="C853">
        <v>2</v>
      </c>
      <c r="D853" s="1">
        <v>2282</v>
      </c>
      <c r="E853" s="1" t="s">
        <v>35</v>
      </c>
      <c r="F853">
        <v>202</v>
      </c>
      <c r="G853">
        <v>3</v>
      </c>
    </row>
    <row r="854" spans="1:16" x14ac:dyDescent="0.3">
      <c r="A854">
        <v>2023</v>
      </c>
      <c r="B854">
        <v>149</v>
      </c>
      <c r="C854">
        <v>3</v>
      </c>
      <c r="D854" s="1">
        <v>2283</v>
      </c>
      <c r="E854" s="1" t="s">
        <v>35</v>
      </c>
      <c r="F854">
        <v>202</v>
      </c>
      <c r="G854">
        <v>3</v>
      </c>
    </row>
    <row r="855" spans="1:16" x14ac:dyDescent="0.3">
      <c r="A855">
        <v>2023</v>
      </c>
      <c r="B855">
        <v>149</v>
      </c>
      <c r="C855">
        <v>4</v>
      </c>
      <c r="D855" s="1">
        <v>2284</v>
      </c>
      <c r="E855" s="1" t="s">
        <v>35</v>
      </c>
      <c r="F855">
        <v>202</v>
      </c>
      <c r="G855">
        <v>3</v>
      </c>
    </row>
    <row r="856" spans="1:16" x14ac:dyDescent="0.3">
      <c r="A856">
        <v>2023</v>
      </c>
      <c r="B856">
        <v>149</v>
      </c>
      <c r="C856">
        <v>5</v>
      </c>
      <c r="D856" s="1">
        <v>2285</v>
      </c>
      <c r="E856" s="1" t="s">
        <v>35</v>
      </c>
      <c r="F856">
        <v>202</v>
      </c>
      <c r="G856">
        <v>3</v>
      </c>
    </row>
    <row r="857" spans="1:16" x14ac:dyDescent="0.3">
      <c r="A857">
        <v>2023</v>
      </c>
      <c r="B857">
        <v>149</v>
      </c>
      <c r="C857">
        <v>6</v>
      </c>
      <c r="D857" s="1">
        <v>2286</v>
      </c>
      <c r="E857" s="1" t="s">
        <v>16</v>
      </c>
      <c r="F857">
        <v>202</v>
      </c>
      <c r="G857">
        <v>1</v>
      </c>
      <c r="J857">
        <v>17.100000000000001</v>
      </c>
      <c r="K857">
        <v>80</v>
      </c>
    </row>
    <row r="858" spans="1:16" x14ac:dyDescent="0.3">
      <c r="A858">
        <v>2023</v>
      </c>
      <c r="B858">
        <v>149</v>
      </c>
      <c r="C858">
        <v>7</v>
      </c>
      <c r="D858" s="1">
        <v>2287</v>
      </c>
      <c r="E858" s="1" t="s">
        <v>35</v>
      </c>
      <c r="F858">
        <v>202</v>
      </c>
      <c r="G858">
        <v>3</v>
      </c>
    </row>
    <row r="859" spans="1:16" x14ac:dyDescent="0.3">
      <c r="A859">
        <v>2023</v>
      </c>
      <c r="B859">
        <v>149</v>
      </c>
      <c r="C859">
        <v>8</v>
      </c>
      <c r="D859" s="1">
        <v>2288</v>
      </c>
      <c r="E859" s="1" t="s">
        <v>35</v>
      </c>
      <c r="F859">
        <v>202</v>
      </c>
      <c r="G859">
        <v>3</v>
      </c>
    </row>
    <row r="860" spans="1:16" x14ac:dyDescent="0.3">
      <c r="A860">
        <v>2023</v>
      </c>
      <c r="B860">
        <v>149</v>
      </c>
      <c r="C860">
        <v>9</v>
      </c>
      <c r="D860" s="1">
        <v>2289</v>
      </c>
      <c r="E860" s="1" t="s">
        <v>35</v>
      </c>
      <c r="F860">
        <v>202</v>
      </c>
      <c r="G860">
        <v>3</v>
      </c>
    </row>
    <row r="861" spans="1:16" x14ac:dyDescent="0.3">
      <c r="A861">
        <v>2023</v>
      </c>
      <c r="B861">
        <v>149</v>
      </c>
      <c r="C861">
        <v>10</v>
      </c>
      <c r="D861" s="1">
        <v>2290</v>
      </c>
      <c r="E861" s="1" t="s">
        <v>16</v>
      </c>
      <c r="F861">
        <v>202</v>
      </c>
      <c r="G861">
        <v>1</v>
      </c>
      <c r="J861">
        <v>16.3</v>
      </c>
      <c r="K861">
        <v>75</v>
      </c>
    </row>
    <row r="862" spans="1:16" x14ac:dyDescent="0.3">
      <c r="A862">
        <v>2023</v>
      </c>
      <c r="B862">
        <v>149</v>
      </c>
      <c r="C862">
        <v>11</v>
      </c>
      <c r="D862" s="1">
        <v>2291</v>
      </c>
      <c r="E862" s="1" t="s">
        <v>25</v>
      </c>
      <c r="F862">
        <v>202</v>
      </c>
      <c r="G862">
        <v>2</v>
      </c>
      <c r="I862">
        <v>2</v>
      </c>
      <c r="J862">
        <v>5.4</v>
      </c>
      <c r="K862">
        <v>35</v>
      </c>
    </row>
    <row r="863" spans="1:16" x14ac:dyDescent="0.3">
      <c r="A863">
        <v>2023</v>
      </c>
      <c r="B863">
        <v>149</v>
      </c>
      <c r="C863">
        <v>12</v>
      </c>
      <c r="D863" s="1">
        <v>2292</v>
      </c>
      <c r="E863" s="1" t="s">
        <v>16</v>
      </c>
      <c r="F863">
        <v>202</v>
      </c>
      <c r="G863">
        <v>1</v>
      </c>
      <c r="J863">
        <v>10.8</v>
      </c>
      <c r="K863">
        <v>45</v>
      </c>
    </row>
    <row r="864" spans="1:16" x14ac:dyDescent="0.3">
      <c r="A864">
        <v>2023</v>
      </c>
      <c r="B864">
        <v>149</v>
      </c>
      <c r="C864">
        <v>13</v>
      </c>
      <c r="D864" s="1">
        <v>2293</v>
      </c>
      <c r="E864" s="1" t="s">
        <v>35</v>
      </c>
      <c r="F864">
        <v>202</v>
      </c>
      <c r="G864">
        <v>3</v>
      </c>
    </row>
    <row r="865" spans="1:16" x14ac:dyDescent="0.3">
      <c r="A865">
        <v>2023</v>
      </c>
      <c r="B865">
        <v>149</v>
      </c>
      <c r="C865">
        <v>14</v>
      </c>
      <c r="D865" s="1">
        <v>2294</v>
      </c>
      <c r="E865" s="1" t="s">
        <v>35</v>
      </c>
      <c r="F865">
        <v>202</v>
      </c>
      <c r="G865">
        <v>3</v>
      </c>
    </row>
    <row r="866" spans="1:16" x14ac:dyDescent="0.3">
      <c r="A866">
        <v>2023</v>
      </c>
      <c r="B866">
        <v>149</v>
      </c>
      <c r="C866">
        <v>15</v>
      </c>
      <c r="D866" s="1">
        <v>2295</v>
      </c>
      <c r="E866" s="1" t="s">
        <v>16</v>
      </c>
      <c r="F866">
        <v>73</v>
      </c>
      <c r="G866">
        <v>1</v>
      </c>
      <c r="J866">
        <v>12.5</v>
      </c>
      <c r="K866">
        <v>78</v>
      </c>
    </row>
    <row r="867" spans="1:16" x14ac:dyDescent="0.3">
      <c r="A867">
        <v>2023</v>
      </c>
      <c r="B867">
        <v>149</v>
      </c>
      <c r="C867">
        <v>16</v>
      </c>
      <c r="D867" s="1">
        <v>2296</v>
      </c>
      <c r="E867" s="1" t="s">
        <v>35</v>
      </c>
      <c r="F867">
        <v>202</v>
      </c>
      <c r="G867">
        <v>3</v>
      </c>
    </row>
    <row r="868" spans="1:16" x14ac:dyDescent="0.3">
      <c r="A868">
        <v>2023</v>
      </c>
      <c r="B868">
        <v>149</v>
      </c>
      <c r="C868">
        <v>17</v>
      </c>
      <c r="D868" s="1">
        <v>2297</v>
      </c>
      <c r="E868" s="1" t="s">
        <v>35</v>
      </c>
      <c r="F868">
        <v>73</v>
      </c>
      <c r="G868">
        <v>3</v>
      </c>
    </row>
    <row r="869" spans="1:16" x14ac:dyDescent="0.3">
      <c r="A869">
        <v>2023</v>
      </c>
      <c r="B869">
        <v>149</v>
      </c>
      <c r="C869">
        <v>18</v>
      </c>
      <c r="D869" s="1">
        <v>2298</v>
      </c>
      <c r="E869" s="1" t="s">
        <v>35</v>
      </c>
      <c r="F869">
        <v>73</v>
      </c>
      <c r="G869">
        <v>3</v>
      </c>
    </row>
    <row r="870" spans="1:16" x14ac:dyDescent="0.3">
      <c r="A870">
        <v>2023</v>
      </c>
      <c r="B870">
        <v>149</v>
      </c>
      <c r="C870">
        <v>19</v>
      </c>
      <c r="D870" s="1">
        <v>2299</v>
      </c>
      <c r="E870" s="1" t="s">
        <v>35</v>
      </c>
      <c r="F870">
        <v>202</v>
      </c>
      <c r="G870">
        <v>3</v>
      </c>
    </row>
    <row r="871" spans="1:16" x14ac:dyDescent="0.3">
      <c r="A871">
        <v>2023</v>
      </c>
      <c r="B871">
        <v>149</v>
      </c>
      <c r="C871">
        <v>20</v>
      </c>
      <c r="D871" s="1">
        <v>2300</v>
      </c>
      <c r="E871" s="1" t="s">
        <v>35</v>
      </c>
      <c r="F871">
        <v>202</v>
      </c>
      <c r="G871">
        <v>3</v>
      </c>
    </row>
    <row r="872" spans="1:16" x14ac:dyDescent="0.3">
      <c r="A872">
        <v>2023</v>
      </c>
      <c r="B872">
        <v>149</v>
      </c>
      <c r="C872">
        <v>21</v>
      </c>
      <c r="D872" s="1">
        <v>2301</v>
      </c>
      <c r="E872" s="1" t="s">
        <v>35</v>
      </c>
      <c r="F872">
        <v>202</v>
      </c>
      <c r="G872">
        <v>3</v>
      </c>
    </row>
    <row r="873" spans="1:16" x14ac:dyDescent="0.3">
      <c r="A873">
        <v>2023</v>
      </c>
      <c r="B873">
        <v>154</v>
      </c>
      <c r="C873">
        <v>1</v>
      </c>
      <c r="D873" s="1">
        <v>2346</v>
      </c>
      <c r="E873" s="1" t="s">
        <v>16</v>
      </c>
      <c r="F873">
        <v>202</v>
      </c>
      <c r="G873">
        <v>1</v>
      </c>
      <c r="J873">
        <v>6.8</v>
      </c>
      <c r="K873">
        <v>33</v>
      </c>
      <c r="P873" t="s">
        <v>105</v>
      </c>
    </row>
    <row r="874" spans="1:16" x14ac:dyDescent="0.3">
      <c r="A874">
        <v>2023</v>
      </c>
      <c r="B874">
        <v>154</v>
      </c>
      <c r="C874">
        <v>2</v>
      </c>
      <c r="D874" s="1">
        <v>2347</v>
      </c>
      <c r="E874" s="1" t="s">
        <v>16</v>
      </c>
      <c r="F874">
        <v>202</v>
      </c>
      <c r="G874">
        <v>1</v>
      </c>
      <c r="J874">
        <v>6.5</v>
      </c>
      <c r="K874">
        <v>32</v>
      </c>
      <c r="P874" t="s">
        <v>105</v>
      </c>
    </row>
    <row r="875" spans="1:16" x14ac:dyDescent="0.3">
      <c r="A875">
        <v>2023</v>
      </c>
      <c r="B875">
        <v>154</v>
      </c>
      <c r="C875">
        <v>3</v>
      </c>
      <c r="D875" s="1">
        <v>2348</v>
      </c>
      <c r="E875" s="1" t="s">
        <v>16</v>
      </c>
      <c r="F875">
        <v>202</v>
      </c>
      <c r="G875">
        <v>1</v>
      </c>
      <c r="J875">
        <v>8</v>
      </c>
      <c r="K875">
        <v>39</v>
      </c>
    </row>
    <row r="876" spans="1:16" x14ac:dyDescent="0.3">
      <c r="A876">
        <v>2023</v>
      </c>
      <c r="B876">
        <v>154</v>
      </c>
      <c r="C876">
        <v>4</v>
      </c>
      <c r="D876" s="1">
        <v>2349</v>
      </c>
      <c r="E876" s="1" t="s">
        <v>16</v>
      </c>
      <c r="F876">
        <v>202</v>
      </c>
      <c r="G876">
        <v>1</v>
      </c>
      <c r="J876">
        <v>7.5</v>
      </c>
      <c r="K876">
        <v>41</v>
      </c>
    </row>
    <row r="877" spans="1:16" x14ac:dyDescent="0.3">
      <c r="A877">
        <v>2023</v>
      </c>
      <c r="B877">
        <v>154</v>
      </c>
      <c r="C877">
        <v>5</v>
      </c>
      <c r="D877" s="1">
        <v>2350</v>
      </c>
      <c r="E877" s="1" t="s">
        <v>16</v>
      </c>
      <c r="F877">
        <v>122</v>
      </c>
      <c r="G877">
        <v>1</v>
      </c>
      <c r="J877">
        <v>5.0999999999999996</v>
      </c>
      <c r="K877">
        <v>29</v>
      </c>
    </row>
    <row r="878" spans="1:16" x14ac:dyDescent="0.3">
      <c r="A878">
        <v>2023</v>
      </c>
      <c r="B878">
        <v>154</v>
      </c>
      <c r="C878">
        <v>6</v>
      </c>
      <c r="D878" s="1">
        <v>2351</v>
      </c>
      <c r="E878" s="1" t="s">
        <v>24</v>
      </c>
      <c r="F878">
        <v>122</v>
      </c>
      <c r="G878">
        <v>0</v>
      </c>
      <c r="H878" t="s">
        <v>89</v>
      </c>
      <c r="P878" t="s">
        <v>106</v>
      </c>
    </row>
    <row r="879" spans="1:16" x14ac:dyDescent="0.3">
      <c r="A879">
        <v>2023</v>
      </c>
      <c r="B879">
        <v>154</v>
      </c>
      <c r="C879">
        <v>7</v>
      </c>
      <c r="D879" s="1">
        <v>2352</v>
      </c>
      <c r="E879" s="1" t="s">
        <v>16</v>
      </c>
      <c r="F879">
        <v>122</v>
      </c>
      <c r="G879">
        <v>1</v>
      </c>
      <c r="J879">
        <v>7</v>
      </c>
      <c r="K879">
        <v>37</v>
      </c>
    </row>
    <row r="880" spans="1:16" x14ac:dyDescent="0.3">
      <c r="A880">
        <v>2023</v>
      </c>
      <c r="B880">
        <v>154</v>
      </c>
      <c r="C880">
        <v>8</v>
      </c>
      <c r="D880" s="1">
        <v>2353</v>
      </c>
      <c r="E880" s="1" t="s">
        <v>16</v>
      </c>
      <c r="F880">
        <v>202</v>
      </c>
      <c r="G880">
        <v>1</v>
      </c>
      <c r="J880">
        <v>7.5</v>
      </c>
      <c r="K880">
        <v>34</v>
      </c>
    </row>
    <row r="881" spans="1:16" x14ac:dyDescent="0.3">
      <c r="A881">
        <v>2023</v>
      </c>
      <c r="B881">
        <v>154</v>
      </c>
      <c r="C881">
        <v>9</v>
      </c>
      <c r="D881" s="1">
        <v>2354</v>
      </c>
      <c r="E881" s="1" t="s">
        <v>16</v>
      </c>
      <c r="F881">
        <v>202</v>
      </c>
      <c r="G881">
        <v>1</v>
      </c>
      <c r="J881">
        <v>12.2</v>
      </c>
      <c r="K881">
        <v>50</v>
      </c>
    </row>
    <row r="882" spans="1:16" x14ac:dyDescent="0.3">
      <c r="A882">
        <v>2023</v>
      </c>
      <c r="B882">
        <v>154</v>
      </c>
      <c r="C882">
        <v>10</v>
      </c>
      <c r="D882" s="1">
        <v>2355</v>
      </c>
      <c r="E882" s="1" t="s">
        <v>24</v>
      </c>
      <c r="F882">
        <v>122</v>
      </c>
      <c r="G882">
        <v>0</v>
      </c>
      <c r="H882" t="s">
        <v>89</v>
      </c>
      <c r="P882" t="s">
        <v>106</v>
      </c>
    </row>
    <row r="883" spans="1:16" x14ac:dyDescent="0.3">
      <c r="A883">
        <v>2023</v>
      </c>
      <c r="B883">
        <v>154</v>
      </c>
      <c r="C883">
        <v>11</v>
      </c>
      <c r="D883" s="1">
        <v>2356</v>
      </c>
      <c r="E883" s="1" t="s">
        <v>16</v>
      </c>
      <c r="F883">
        <v>202</v>
      </c>
      <c r="G883">
        <v>1</v>
      </c>
      <c r="J883">
        <v>22.2</v>
      </c>
      <c r="K883">
        <v>68</v>
      </c>
    </row>
    <row r="884" spans="1:16" x14ac:dyDescent="0.3">
      <c r="A884">
        <v>2023</v>
      </c>
      <c r="B884">
        <v>154</v>
      </c>
      <c r="C884">
        <v>12</v>
      </c>
      <c r="D884" s="1">
        <v>2357</v>
      </c>
      <c r="E884" s="1" t="s">
        <v>19</v>
      </c>
      <c r="F884">
        <v>122</v>
      </c>
      <c r="G884">
        <v>0</v>
      </c>
      <c r="H884" t="s">
        <v>89</v>
      </c>
      <c r="P884" t="s">
        <v>96</v>
      </c>
    </row>
    <row r="885" spans="1:16" x14ac:dyDescent="0.3">
      <c r="A885">
        <v>2023</v>
      </c>
      <c r="B885">
        <v>154</v>
      </c>
      <c r="C885">
        <v>13</v>
      </c>
      <c r="D885" s="1">
        <v>2358</v>
      </c>
      <c r="E885" s="1" t="s">
        <v>19</v>
      </c>
      <c r="F885">
        <v>122</v>
      </c>
      <c r="G885">
        <v>0</v>
      </c>
      <c r="H885" t="s">
        <v>89</v>
      </c>
      <c r="P885" t="s">
        <v>96</v>
      </c>
    </row>
    <row r="886" spans="1:16" x14ac:dyDescent="0.3">
      <c r="A886">
        <v>2023</v>
      </c>
      <c r="B886">
        <v>154</v>
      </c>
      <c r="C886">
        <v>14</v>
      </c>
      <c r="D886" s="1">
        <v>2359</v>
      </c>
      <c r="E886" s="1" t="s">
        <v>19</v>
      </c>
      <c r="F886">
        <v>122</v>
      </c>
      <c r="G886">
        <v>0</v>
      </c>
      <c r="H886" t="s">
        <v>89</v>
      </c>
      <c r="P886" t="s">
        <v>96</v>
      </c>
    </row>
    <row r="887" spans="1:16" x14ac:dyDescent="0.3">
      <c r="A887">
        <v>2023</v>
      </c>
      <c r="B887">
        <v>154</v>
      </c>
      <c r="C887">
        <v>15</v>
      </c>
      <c r="D887" s="1">
        <v>2360</v>
      </c>
      <c r="E887" s="1" t="s">
        <v>16</v>
      </c>
      <c r="F887">
        <v>122</v>
      </c>
      <c r="G887">
        <v>1</v>
      </c>
      <c r="J887">
        <v>1.9</v>
      </c>
    </row>
    <row r="888" spans="1:16" x14ac:dyDescent="0.3">
      <c r="A888">
        <v>2023</v>
      </c>
      <c r="B888">
        <v>154</v>
      </c>
      <c r="C888">
        <v>16</v>
      </c>
      <c r="D888" s="1">
        <v>2361</v>
      </c>
      <c r="E888" s="1" t="s">
        <v>16</v>
      </c>
      <c r="F888">
        <v>202</v>
      </c>
      <c r="G888">
        <v>1</v>
      </c>
      <c r="J888">
        <v>2.1</v>
      </c>
    </row>
    <row r="889" spans="1:16" x14ac:dyDescent="0.3">
      <c r="A889">
        <v>2023</v>
      </c>
      <c r="B889">
        <v>154</v>
      </c>
      <c r="C889">
        <v>17</v>
      </c>
      <c r="D889" s="1">
        <v>2362</v>
      </c>
      <c r="E889" s="1" t="s">
        <v>16</v>
      </c>
      <c r="F889">
        <v>122</v>
      </c>
      <c r="G889">
        <v>1</v>
      </c>
      <c r="J889">
        <v>1.8</v>
      </c>
    </row>
    <row r="890" spans="1:16" x14ac:dyDescent="0.3">
      <c r="A890">
        <v>2023</v>
      </c>
      <c r="B890">
        <v>154</v>
      </c>
      <c r="C890">
        <v>18</v>
      </c>
      <c r="D890" s="1">
        <v>2363</v>
      </c>
      <c r="E890" s="1" t="s">
        <v>19</v>
      </c>
      <c r="F890">
        <v>202</v>
      </c>
      <c r="G890">
        <v>0</v>
      </c>
      <c r="H890" t="s">
        <v>89</v>
      </c>
      <c r="P890" t="s">
        <v>96</v>
      </c>
    </row>
    <row r="891" spans="1:16" x14ac:dyDescent="0.3">
      <c r="A891">
        <v>2023</v>
      </c>
      <c r="B891">
        <v>154</v>
      </c>
      <c r="C891">
        <v>19</v>
      </c>
      <c r="D891" s="1">
        <v>2364</v>
      </c>
      <c r="E891" s="1" t="s">
        <v>16</v>
      </c>
      <c r="F891">
        <v>122</v>
      </c>
      <c r="G891">
        <v>1</v>
      </c>
      <c r="J891">
        <v>3.8</v>
      </c>
    </row>
    <row r="892" spans="1:16" x14ac:dyDescent="0.3">
      <c r="A892">
        <v>2023</v>
      </c>
      <c r="B892">
        <v>154</v>
      </c>
      <c r="C892">
        <v>20</v>
      </c>
      <c r="D892" s="1">
        <v>2365</v>
      </c>
      <c r="E892" s="1" t="s">
        <v>16</v>
      </c>
      <c r="F892">
        <v>122</v>
      </c>
      <c r="G892">
        <v>1</v>
      </c>
      <c r="J892">
        <v>3.3</v>
      </c>
    </row>
    <row r="893" spans="1:16" x14ac:dyDescent="0.3">
      <c r="A893">
        <v>2023</v>
      </c>
      <c r="B893">
        <v>154</v>
      </c>
      <c r="C893">
        <v>21</v>
      </c>
      <c r="D893" s="1">
        <v>2366</v>
      </c>
      <c r="E893" s="1" t="s">
        <v>16</v>
      </c>
      <c r="F893">
        <v>122</v>
      </c>
      <c r="G893">
        <v>1</v>
      </c>
      <c r="J893">
        <v>1.7</v>
      </c>
    </row>
    <row r="894" spans="1:16" x14ac:dyDescent="0.3">
      <c r="A894">
        <v>2023</v>
      </c>
      <c r="B894">
        <v>154</v>
      </c>
      <c r="C894">
        <v>22</v>
      </c>
      <c r="D894" s="1">
        <v>2367</v>
      </c>
      <c r="E894" s="1" t="s">
        <v>16</v>
      </c>
      <c r="F894">
        <v>122</v>
      </c>
      <c r="G894">
        <v>1</v>
      </c>
      <c r="J894">
        <v>2.7</v>
      </c>
    </row>
    <row r="895" spans="1:16" x14ac:dyDescent="0.3">
      <c r="A895">
        <v>2023</v>
      </c>
      <c r="B895">
        <v>154</v>
      </c>
      <c r="C895">
        <v>23</v>
      </c>
      <c r="D895" s="1">
        <v>2368</v>
      </c>
      <c r="E895" s="1" t="s">
        <v>16</v>
      </c>
      <c r="F895">
        <v>202</v>
      </c>
      <c r="G895">
        <v>1</v>
      </c>
      <c r="J895">
        <v>3.8</v>
      </c>
      <c r="P895" t="s">
        <v>107</v>
      </c>
    </row>
    <row r="896" spans="1:16" x14ac:dyDescent="0.3">
      <c r="A896">
        <v>2023</v>
      </c>
      <c r="B896">
        <v>154</v>
      </c>
      <c r="C896">
        <v>24</v>
      </c>
      <c r="D896" s="1">
        <v>2369</v>
      </c>
      <c r="E896" s="1" t="s">
        <v>16</v>
      </c>
      <c r="F896">
        <v>122</v>
      </c>
      <c r="G896">
        <v>1</v>
      </c>
      <c r="J896">
        <v>1.5</v>
      </c>
    </row>
    <row r="897" spans="1:16" x14ac:dyDescent="0.3">
      <c r="A897">
        <v>2023</v>
      </c>
      <c r="B897">
        <v>164</v>
      </c>
      <c r="C897">
        <v>1</v>
      </c>
      <c r="D897" s="1">
        <v>2457</v>
      </c>
      <c r="E897" s="1" t="s">
        <v>16</v>
      </c>
      <c r="F897">
        <v>202</v>
      </c>
      <c r="G897">
        <v>1</v>
      </c>
      <c r="J897">
        <v>22.5</v>
      </c>
      <c r="K897">
        <v>80</v>
      </c>
      <c r="P897" t="s">
        <v>108</v>
      </c>
    </row>
    <row r="898" spans="1:16" x14ac:dyDescent="0.3">
      <c r="A898">
        <v>2023</v>
      </c>
      <c r="B898">
        <v>164</v>
      </c>
      <c r="C898">
        <v>2</v>
      </c>
      <c r="D898" s="1">
        <v>2458</v>
      </c>
      <c r="E898" s="1" t="s">
        <v>16</v>
      </c>
      <c r="F898">
        <v>202</v>
      </c>
      <c r="G898">
        <v>1</v>
      </c>
      <c r="J898">
        <v>2.6</v>
      </c>
      <c r="P898" t="s">
        <v>109</v>
      </c>
    </row>
    <row r="899" spans="1:16" x14ac:dyDescent="0.3">
      <c r="A899">
        <v>2023</v>
      </c>
      <c r="B899">
        <v>164</v>
      </c>
      <c r="C899">
        <v>3</v>
      </c>
      <c r="D899" s="1">
        <v>2459</v>
      </c>
      <c r="E899" s="1" t="s">
        <v>16</v>
      </c>
      <c r="F899">
        <v>202</v>
      </c>
      <c r="G899">
        <v>1</v>
      </c>
      <c r="J899">
        <v>2.6</v>
      </c>
    </row>
    <row r="900" spans="1:16" x14ac:dyDescent="0.3">
      <c r="A900">
        <v>2023</v>
      </c>
      <c r="B900">
        <v>164</v>
      </c>
      <c r="C900">
        <v>4</v>
      </c>
      <c r="D900" s="1">
        <v>2460</v>
      </c>
      <c r="E900" s="1" t="s">
        <v>16</v>
      </c>
      <c r="F900">
        <v>73</v>
      </c>
      <c r="G900">
        <v>1</v>
      </c>
      <c r="J900">
        <v>2.7</v>
      </c>
    </row>
    <row r="901" spans="1:16" x14ac:dyDescent="0.3">
      <c r="A901">
        <v>2023</v>
      </c>
      <c r="B901">
        <v>164</v>
      </c>
      <c r="C901">
        <v>5</v>
      </c>
      <c r="D901" s="1">
        <v>2461</v>
      </c>
      <c r="E901" s="1" t="s">
        <v>16</v>
      </c>
      <c r="F901">
        <v>73</v>
      </c>
      <c r="G901">
        <v>1</v>
      </c>
      <c r="J901">
        <v>1.6</v>
      </c>
    </row>
    <row r="902" spans="1:16" x14ac:dyDescent="0.3">
      <c r="A902">
        <v>2023</v>
      </c>
      <c r="B902">
        <v>164</v>
      </c>
      <c r="C902">
        <v>6</v>
      </c>
      <c r="D902" s="1">
        <v>4558</v>
      </c>
      <c r="E902" s="1" t="s">
        <v>97</v>
      </c>
      <c r="F902">
        <v>73</v>
      </c>
      <c r="G902">
        <v>1</v>
      </c>
      <c r="H902" t="s">
        <v>98</v>
      </c>
      <c r="J902">
        <v>1.4</v>
      </c>
      <c r="P902" t="s">
        <v>110</v>
      </c>
    </row>
    <row r="903" spans="1:16" x14ac:dyDescent="0.3">
      <c r="A903">
        <v>2023</v>
      </c>
      <c r="B903">
        <v>164</v>
      </c>
      <c r="C903">
        <v>7</v>
      </c>
      <c r="D903" s="1">
        <v>4559</v>
      </c>
      <c r="E903" s="1" t="s">
        <v>97</v>
      </c>
      <c r="F903">
        <v>73</v>
      </c>
      <c r="G903">
        <v>1</v>
      </c>
      <c r="H903" t="s">
        <v>98</v>
      </c>
      <c r="J903">
        <v>1</v>
      </c>
    </row>
    <row r="904" spans="1:16" x14ac:dyDescent="0.3">
      <c r="A904">
        <v>2023</v>
      </c>
      <c r="B904">
        <v>169</v>
      </c>
      <c r="C904">
        <v>1</v>
      </c>
      <c r="D904" s="1">
        <v>2517</v>
      </c>
      <c r="E904" s="1" t="s">
        <v>16</v>
      </c>
      <c r="F904">
        <v>202</v>
      </c>
      <c r="G904">
        <v>1</v>
      </c>
      <c r="J904">
        <v>18.399999999999999</v>
      </c>
      <c r="K904">
        <v>77</v>
      </c>
    </row>
    <row r="905" spans="1:16" x14ac:dyDescent="0.3">
      <c r="A905">
        <v>2023</v>
      </c>
      <c r="B905">
        <v>169</v>
      </c>
      <c r="C905">
        <v>2</v>
      </c>
      <c r="D905" s="1">
        <v>2518</v>
      </c>
      <c r="E905" s="1" t="s">
        <v>16</v>
      </c>
      <c r="F905">
        <v>202</v>
      </c>
      <c r="G905">
        <v>1</v>
      </c>
      <c r="J905">
        <v>11.1</v>
      </c>
      <c r="K905">
        <v>70</v>
      </c>
    </row>
    <row r="906" spans="1:16" x14ac:dyDescent="0.3">
      <c r="A906">
        <v>2023</v>
      </c>
      <c r="B906">
        <v>169</v>
      </c>
      <c r="C906">
        <v>3</v>
      </c>
      <c r="D906" s="1">
        <v>2519</v>
      </c>
      <c r="E906" s="1" t="s">
        <v>16</v>
      </c>
      <c r="F906">
        <v>202</v>
      </c>
      <c r="G906">
        <v>1</v>
      </c>
      <c r="J906">
        <v>11.7</v>
      </c>
      <c r="K906">
        <v>73</v>
      </c>
    </row>
    <row r="907" spans="1:16" x14ac:dyDescent="0.3">
      <c r="A907">
        <v>2023</v>
      </c>
      <c r="B907">
        <v>169</v>
      </c>
      <c r="C907">
        <v>4</v>
      </c>
      <c r="D907" s="1">
        <v>2520</v>
      </c>
      <c r="E907" s="1" t="s">
        <v>16</v>
      </c>
      <c r="F907">
        <v>202</v>
      </c>
      <c r="G907">
        <v>1</v>
      </c>
      <c r="J907">
        <v>9.1999999999999993</v>
      </c>
      <c r="K907">
        <v>65</v>
      </c>
    </row>
    <row r="908" spans="1:16" x14ac:dyDescent="0.3">
      <c r="A908">
        <v>2023</v>
      </c>
      <c r="B908">
        <v>169</v>
      </c>
      <c r="C908">
        <v>5</v>
      </c>
      <c r="D908" s="1">
        <v>2521</v>
      </c>
      <c r="E908" s="1" t="s">
        <v>16</v>
      </c>
      <c r="F908">
        <v>202</v>
      </c>
      <c r="G908">
        <v>1</v>
      </c>
      <c r="J908">
        <v>16.100000000000001</v>
      </c>
      <c r="K908">
        <v>74</v>
      </c>
    </row>
    <row r="909" spans="1:16" x14ac:dyDescent="0.3">
      <c r="A909">
        <v>2023</v>
      </c>
      <c r="B909">
        <v>169</v>
      </c>
      <c r="C909">
        <v>6</v>
      </c>
      <c r="D909" s="1">
        <v>2522</v>
      </c>
      <c r="E909" s="1" t="s">
        <v>16</v>
      </c>
      <c r="F909">
        <v>202</v>
      </c>
      <c r="G909">
        <v>1</v>
      </c>
      <c r="J909">
        <v>9.1</v>
      </c>
      <c r="K909">
        <v>62</v>
      </c>
      <c r="L909">
        <v>47</v>
      </c>
      <c r="M909" s="1">
        <v>45</v>
      </c>
      <c r="N909" s="1">
        <v>3</v>
      </c>
    </row>
    <row r="910" spans="1:16" x14ac:dyDescent="0.3">
      <c r="A910">
        <v>2023</v>
      </c>
      <c r="B910">
        <v>169</v>
      </c>
      <c r="C910">
        <v>7</v>
      </c>
      <c r="D910" s="1">
        <v>2523</v>
      </c>
      <c r="E910" s="1" t="s">
        <v>24</v>
      </c>
      <c r="F910">
        <v>202</v>
      </c>
      <c r="G910">
        <v>0</v>
      </c>
      <c r="H910" t="s">
        <v>89</v>
      </c>
    </row>
    <row r="911" spans="1:16" x14ac:dyDescent="0.3">
      <c r="A911">
        <v>2023</v>
      </c>
      <c r="B911">
        <v>169</v>
      </c>
      <c r="C911">
        <v>8</v>
      </c>
      <c r="D911" s="1">
        <v>2524</v>
      </c>
      <c r="E911" s="1" t="s">
        <v>16</v>
      </c>
      <c r="F911">
        <v>202</v>
      </c>
      <c r="G911">
        <v>1</v>
      </c>
      <c r="J911">
        <v>13.1</v>
      </c>
      <c r="K911">
        <v>58</v>
      </c>
      <c r="P911" t="s">
        <v>111</v>
      </c>
    </row>
    <row r="912" spans="1:16" x14ac:dyDescent="0.3">
      <c r="A912">
        <v>2023</v>
      </c>
      <c r="B912">
        <v>169</v>
      </c>
      <c r="C912">
        <v>9</v>
      </c>
      <c r="D912" s="1">
        <v>2525</v>
      </c>
      <c r="E912" s="1" t="s">
        <v>16</v>
      </c>
      <c r="F912">
        <v>202</v>
      </c>
      <c r="G912">
        <v>1</v>
      </c>
      <c r="J912">
        <v>23.1</v>
      </c>
      <c r="K912">
        <v>100</v>
      </c>
    </row>
    <row r="913" spans="1:16" x14ac:dyDescent="0.3">
      <c r="A913">
        <v>2023</v>
      </c>
      <c r="B913">
        <v>169</v>
      </c>
      <c r="C913">
        <v>10</v>
      </c>
      <c r="D913" s="1">
        <v>2526</v>
      </c>
      <c r="E913" s="1" t="s">
        <v>16</v>
      </c>
      <c r="F913">
        <v>202</v>
      </c>
      <c r="G913">
        <v>1</v>
      </c>
      <c r="J913">
        <v>12.4</v>
      </c>
      <c r="K913">
        <v>62</v>
      </c>
    </row>
    <row r="914" spans="1:16" x14ac:dyDescent="0.3">
      <c r="A914">
        <v>2023</v>
      </c>
      <c r="B914">
        <v>173</v>
      </c>
      <c r="C914">
        <v>1</v>
      </c>
      <c r="D914" s="1">
        <v>2557</v>
      </c>
      <c r="E914" s="1" t="s">
        <v>16</v>
      </c>
      <c r="F914">
        <v>202</v>
      </c>
      <c r="G914">
        <v>1</v>
      </c>
      <c r="J914">
        <v>7.8</v>
      </c>
      <c r="K914">
        <v>31</v>
      </c>
      <c r="P914" t="s">
        <v>112</v>
      </c>
    </row>
    <row r="915" spans="1:16" x14ac:dyDescent="0.3">
      <c r="A915">
        <v>2023</v>
      </c>
      <c r="B915">
        <v>173</v>
      </c>
      <c r="C915">
        <v>2</v>
      </c>
      <c r="D915" s="1">
        <v>2558</v>
      </c>
      <c r="E915" s="1" t="s">
        <v>16</v>
      </c>
      <c r="F915">
        <v>19</v>
      </c>
      <c r="G915">
        <v>1</v>
      </c>
      <c r="J915">
        <v>5.5</v>
      </c>
      <c r="K915">
        <v>27</v>
      </c>
    </row>
    <row r="916" spans="1:16" x14ac:dyDescent="0.3">
      <c r="A916">
        <v>2023</v>
      </c>
      <c r="B916">
        <v>173</v>
      </c>
      <c r="C916">
        <v>3</v>
      </c>
      <c r="D916" s="1">
        <v>2559</v>
      </c>
      <c r="E916" s="1" t="s">
        <v>16</v>
      </c>
      <c r="F916">
        <v>19</v>
      </c>
      <c r="G916">
        <v>1</v>
      </c>
      <c r="J916">
        <v>4.3</v>
      </c>
    </row>
    <row r="917" spans="1:16" x14ac:dyDescent="0.3">
      <c r="A917">
        <v>2023</v>
      </c>
      <c r="B917">
        <v>173</v>
      </c>
      <c r="C917">
        <v>4</v>
      </c>
      <c r="D917" s="1">
        <v>4568</v>
      </c>
      <c r="E917" s="1" t="s">
        <v>97</v>
      </c>
      <c r="F917">
        <v>19</v>
      </c>
      <c r="G917">
        <v>1</v>
      </c>
      <c r="H917" t="s">
        <v>98</v>
      </c>
      <c r="J917">
        <v>1.1000000000000001</v>
      </c>
    </row>
    <row r="918" spans="1:16" x14ac:dyDescent="0.3">
      <c r="A918">
        <v>2023</v>
      </c>
      <c r="B918">
        <v>180</v>
      </c>
      <c r="C918">
        <v>1</v>
      </c>
      <c r="D918" s="1">
        <v>2638</v>
      </c>
      <c r="E918" s="1" t="s">
        <v>24</v>
      </c>
      <c r="F918">
        <v>122</v>
      </c>
      <c r="G918">
        <v>0</v>
      </c>
      <c r="H918" t="s">
        <v>89</v>
      </c>
      <c r="P918" t="s">
        <v>113</v>
      </c>
    </row>
    <row r="919" spans="1:16" x14ac:dyDescent="0.3">
      <c r="A919">
        <v>2023</v>
      </c>
      <c r="B919">
        <v>180</v>
      </c>
      <c r="C919">
        <v>2</v>
      </c>
      <c r="D919" s="1">
        <v>2639</v>
      </c>
      <c r="E919" s="1" t="s">
        <v>16</v>
      </c>
      <c r="F919">
        <v>202</v>
      </c>
      <c r="G919">
        <v>1</v>
      </c>
      <c r="J919">
        <v>14.9</v>
      </c>
      <c r="K919">
        <v>61</v>
      </c>
    </row>
    <row r="920" spans="1:16" x14ac:dyDescent="0.3">
      <c r="A920">
        <v>2023</v>
      </c>
      <c r="B920">
        <v>180</v>
      </c>
      <c r="C920">
        <v>3</v>
      </c>
      <c r="D920" s="1">
        <v>2640</v>
      </c>
      <c r="E920" s="1" t="s">
        <v>16</v>
      </c>
      <c r="F920">
        <v>202</v>
      </c>
      <c r="G920">
        <v>1</v>
      </c>
      <c r="J920">
        <v>13</v>
      </c>
      <c r="K920">
        <v>63</v>
      </c>
    </row>
    <row r="921" spans="1:16" x14ac:dyDescent="0.3">
      <c r="A921">
        <v>2023</v>
      </c>
      <c r="B921">
        <v>180</v>
      </c>
      <c r="C921">
        <v>4</v>
      </c>
      <c r="D921" s="1">
        <v>2641</v>
      </c>
      <c r="E921" s="1" t="s">
        <v>16</v>
      </c>
      <c r="F921">
        <v>202</v>
      </c>
      <c r="G921">
        <v>1</v>
      </c>
      <c r="J921">
        <v>16</v>
      </c>
      <c r="K921">
        <v>72</v>
      </c>
    </row>
    <row r="922" spans="1:16" x14ac:dyDescent="0.3">
      <c r="A922">
        <v>2023</v>
      </c>
      <c r="B922">
        <v>180</v>
      </c>
      <c r="C922">
        <v>5</v>
      </c>
      <c r="D922" s="1">
        <v>2642</v>
      </c>
      <c r="E922" s="1" t="s">
        <v>24</v>
      </c>
      <c r="F922">
        <v>122</v>
      </c>
      <c r="G922">
        <v>0</v>
      </c>
      <c r="H922" t="s">
        <v>89</v>
      </c>
      <c r="P922" t="s">
        <v>113</v>
      </c>
    </row>
    <row r="923" spans="1:16" x14ac:dyDescent="0.3">
      <c r="A923">
        <v>2023</v>
      </c>
      <c r="B923">
        <v>180</v>
      </c>
      <c r="C923">
        <v>6</v>
      </c>
      <c r="D923" s="1">
        <v>2643</v>
      </c>
      <c r="E923" s="1" t="s">
        <v>16</v>
      </c>
      <c r="F923">
        <v>202</v>
      </c>
      <c r="G923">
        <v>1</v>
      </c>
      <c r="J923">
        <v>9.1999999999999993</v>
      </c>
      <c r="K923">
        <v>59</v>
      </c>
    </row>
    <row r="924" spans="1:16" x14ac:dyDescent="0.3">
      <c r="A924">
        <v>2023</v>
      </c>
      <c r="B924">
        <v>180</v>
      </c>
      <c r="C924">
        <v>7</v>
      </c>
      <c r="D924" s="1">
        <v>2644</v>
      </c>
      <c r="E924" s="1" t="s">
        <v>16</v>
      </c>
      <c r="F924">
        <v>202</v>
      </c>
      <c r="G924">
        <v>1</v>
      </c>
      <c r="J924">
        <v>11.8</v>
      </c>
      <c r="K924">
        <v>57</v>
      </c>
    </row>
    <row r="925" spans="1:16" x14ac:dyDescent="0.3">
      <c r="A925">
        <v>2023</v>
      </c>
      <c r="B925">
        <v>180</v>
      </c>
      <c r="C925">
        <v>8</v>
      </c>
      <c r="D925" s="1">
        <v>2645</v>
      </c>
      <c r="E925" s="1" t="s">
        <v>16</v>
      </c>
      <c r="F925">
        <v>202</v>
      </c>
      <c r="G925">
        <v>1</v>
      </c>
      <c r="J925">
        <v>11.1</v>
      </c>
      <c r="K925">
        <v>53</v>
      </c>
    </row>
    <row r="926" spans="1:16" x14ac:dyDescent="0.3">
      <c r="A926">
        <v>2023</v>
      </c>
      <c r="B926">
        <v>180</v>
      </c>
      <c r="C926">
        <v>9</v>
      </c>
      <c r="D926" s="1">
        <v>2646</v>
      </c>
      <c r="E926" s="1" t="s">
        <v>16</v>
      </c>
      <c r="F926">
        <v>202</v>
      </c>
      <c r="G926">
        <v>1</v>
      </c>
      <c r="J926">
        <v>14.1</v>
      </c>
      <c r="K926">
        <v>64</v>
      </c>
    </row>
    <row r="927" spans="1:16" x14ac:dyDescent="0.3">
      <c r="A927">
        <v>2023</v>
      </c>
      <c r="B927">
        <v>180</v>
      </c>
      <c r="C927">
        <v>10</v>
      </c>
      <c r="D927" s="1">
        <v>2647</v>
      </c>
      <c r="E927" s="1" t="s">
        <v>16</v>
      </c>
      <c r="F927">
        <v>202</v>
      </c>
      <c r="G927">
        <v>1</v>
      </c>
      <c r="J927">
        <v>12</v>
      </c>
      <c r="K927">
        <v>59</v>
      </c>
    </row>
    <row r="928" spans="1:16" x14ac:dyDescent="0.3">
      <c r="A928">
        <v>2023</v>
      </c>
      <c r="B928">
        <v>180</v>
      </c>
      <c r="C928">
        <v>11</v>
      </c>
      <c r="D928" s="1">
        <v>2648</v>
      </c>
      <c r="E928" s="1" t="s">
        <v>16</v>
      </c>
      <c r="F928">
        <v>202</v>
      </c>
      <c r="G928">
        <v>1</v>
      </c>
      <c r="J928">
        <v>6.4</v>
      </c>
      <c r="K928">
        <v>29</v>
      </c>
    </row>
    <row r="929" spans="1:16" x14ac:dyDescent="0.3">
      <c r="A929">
        <v>2023</v>
      </c>
      <c r="B929">
        <v>180</v>
      </c>
      <c r="C929">
        <v>12</v>
      </c>
      <c r="D929" s="1">
        <v>2649</v>
      </c>
      <c r="E929" s="1" t="s">
        <v>24</v>
      </c>
      <c r="F929">
        <v>122</v>
      </c>
      <c r="G929">
        <v>0</v>
      </c>
      <c r="H929" t="s">
        <v>89</v>
      </c>
      <c r="P929" t="s">
        <v>113</v>
      </c>
    </row>
    <row r="930" spans="1:16" x14ac:dyDescent="0.3">
      <c r="A930">
        <v>2023</v>
      </c>
      <c r="B930">
        <v>197</v>
      </c>
      <c r="C930">
        <v>1</v>
      </c>
      <c r="D930" s="1">
        <v>2850</v>
      </c>
      <c r="E930" s="1" t="s">
        <v>16</v>
      </c>
      <c r="F930">
        <v>202</v>
      </c>
      <c r="G930">
        <v>1</v>
      </c>
      <c r="J930">
        <v>9.6999999999999993</v>
      </c>
      <c r="K930">
        <v>53</v>
      </c>
    </row>
    <row r="931" spans="1:16" x14ac:dyDescent="0.3">
      <c r="A931">
        <v>2023</v>
      </c>
      <c r="B931">
        <v>197</v>
      </c>
      <c r="C931">
        <v>2</v>
      </c>
      <c r="D931" s="1">
        <v>2851</v>
      </c>
      <c r="E931" s="1" t="s">
        <v>16</v>
      </c>
      <c r="F931">
        <v>202</v>
      </c>
      <c r="G931">
        <v>1</v>
      </c>
      <c r="J931">
        <v>5.4</v>
      </c>
      <c r="K931">
        <v>40</v>
      </c>
    </row>
    <row r="932" spans="1:16" x14ac:dyDescent="0.3">
      <c r="A932">
        <v>2023</v>
      </c>
      <c r="B932">
        <v>197</v>
      </c>
      <c r="C932">
        <v>3</v>
      </c>
      <c r="D932" s="1">
        <v>2852</v>
      </c>
      <c r="E932" s="1" t="s">
        <v>16</v>
      </c>
      <c r="F932">
        <v>202</v>
      </c>
      <c r="G932">
        <v>1</v>
      </c>
      <c r="J932">
        <v>6.7</v>
      </c>
      <c r="K932">
        <v>47</v>
      </c>
    </row>
    <row r="933" spans="1:16" x14ac:dyDescent="0.3">
      <c r="A933">
        <v>2023</v>
      </c>
      <c r="B933">
        <v>197</v>
      </c>
      <c r="C933">
        <v>4</v>
      </c>
      <c r="D933" s="1">
        <v>2853</v>
      </c>
      <c r="E933" s="1" t="s">
        <v>16</v>
      </c>
      <c r="F933">
        <v>202</v>
      </c>
      <c r="G933">
        <v>1</v>
      </c>
      <c r="J933">
        <v>5.6</v>
      </c>
      <c r="K933">
        <v>40</v>
      </c>
    </row>
    <row r="934" spans="1:16" x14ac:dyDescent="0.3">
      <c r="A934">
        <v>2023</v>
      </c>
      <c r="B934">
        <v>197</v>
      </c>
      <c r="C934">
        <v>5</v>
      </c>
      <c r="D934" s="1">
        <v>2854</v>
      </c>
      <c r="E934" s="1" t="s">
        <v>16</v>
      </c>
      <c r="F934">
        <v>202</v>
      </c>
      <c r="G934">
        <v>1</v>
      </c>
      <c r="J934">
        <v>10.5</v>
      </c>
      <c r="K934">
        <v>54</v>
      </c>
    </row>
    <row r="935" spans="1:16" x14ac:dyDescent="0.3">
      <c r="A935">
        <v>2023</v>
      </c>
      <c r="B935">
        <v>197</v>
      </c>
      <c r="C935">
        <v>6</v>
      </c>
      <c r="D935" s="1">
        <v>2855</v>
      </c>
      <c r="E935" s="1" t="s">
        <v>16</v>
      </c>
      <c r="F935">
        <v>202</v>
      </c>
      <c r="G935">
        <v>1</v>
      </c>
      <c r="J935">
        <v>20.7</v>
      </c>
      <c r="K935">
        <v>75</v>
      </c>
      <c r="O935">
        <v>5</v>
      </c>
      <c r="P935" t="s">
        <v>114</v>
      </c>
    </row>
    <row r="936" spans="1:16" x14ac:dyDescent="0.3">
      <c r="A936">
        <v>2023</v>
      </c>
      <c r="B936">
        <v>197</v>
      </c>
      <c r="C936">
        <v>7</v>
      </c>
      <c r="D936" s="1">
        <v>2856</v>
      </c>
      <c r="E936" s="1" t="s">
        <v>16</v>
      </c>
      <c r="F936">
        <v>122</v>
      </c>
      <c r="G936">
        <v>1</v>
      </c>
      <c r="J936">
        <v>7.4</v>
      </c>
      <c r="K936">
        <v>49</v>
      </c>
    </row>
    <row r="937" spans="1:16" x14ac:dyDescent="0.3">
      <c r="A937">
        <v>2023</v>
      </c>
      <c r="B937">
        <v>197</v>
      </c>
      <c r="C937">
        <v>8</v>
      </c>
      <c r="D937" s="1">
        <v>2857</v>
      </c>
      <c r="E937" s="1" t="s">
        <v>16</v>
      </c>
      <c r="F937">
        <v>202</v>
      </c>
      <c r="G937">
        <v>1</v>
      </c>
      <c r="J937">
        <v>9.6</v>
      </c>
      <c r="K937">
        <v>54</v>
      </c>
    </row>
    <row r="938" spans="1:16" x14ac:dyDescent="0.3">
      <c r="A938">
        <v>2023</v>
      </c>
      <c r="B938">
        <v>197</v>
      </c>
      <c r="C938">
        <v>9</v>
      </c>
      <c r="D938" s="1">
        <v>2858</v>
      </c>
      <c r="E938" s="1" t="s">
        <v>16</v>
      </c>
      <c r="F938">
        <v>202</v>
      </c>
      <c r="G938">
        <v>1</v>
      </c>
      <c r="J938">
        <v>5.7</v>
      </c>
      <c r="K938">
        <v>40</v>
      </c>
      <c r="P938" t="s">
        <v>115</v>
      </c>
    </row>
    <row r="939" spans="1:16" x14ac:dyDescent="0.3">
      <c r="A939">
        <v>2023</v>
      </c>
      <c r="B939">
        <v>197</v>
      </c>
      <c r="C939">
        <v>10</v>
      </c>
      <c r="D939" s="1">
        <v>2859</v>
      </c>
      <c r="E939" s="1" t="s">
        <v>34</v>
      </c>
      <c r="F939">
        <v>122</v>
      </c>
      <c r="G939">
        <v>2</v>
      </c>
      <c r="I939">
        <v>2</v>
      </c>
      <c r="J939">
        <v>12.2</v>
      </c>
      <c r="K939">
        <v>63</v>
      </c>
      <c r="L939">
        <v>30</v>
      </c>
      <c r="M939" s="1">
        <v>49</v>
      </c>
      <c r="N939" s="1">
        <v>9</v>
      </c>
    </row>
    <row r="940" spans="1:16" x14ac:dyDescent="0.3">
      <c r="A940">
        <v>2023</v>
      </c>
      <c r="B940">
        <v>197</v>
      </c>
      <c r="C940">
        <v>11</v>
      </c>
      <c r="D940" s="1">
        <v>2860</v>
      </c>
      <c r="E940" s="1" t="s">
        <v>16</v>
      </c>
      <c r="F940">
        <v>122</v>
      </c>
      <c r="G940">
        <v>1</v>
      </c>
      <c r="J940">
        <v>5.6</v>
      </c>
      <c r="K940">
        <v>38</v>
      </c>
    </row>
    <row r="941" spans="1:16" x14ac:dyDescent="0.3">
      <c r="A941">
        <v>2023</v>
      </c>
      <c r="B941">
        <v>197</v>
      </c>
      <c r="C941">
        <v>12</v>
      </c>
      <c r="D941" s="1">
        <v>2861</v>
      </c>
      <c r="E941" s="1" t="s">
        <v>16</v>
      </c>
      <c r="F941">
        <v>202</v>
      </c>
      <c r="G941">
        <v>1</v>
      </c>
      <c r="J941">
        <v>5.5</v>
      </c>
      <c r="K941">
        <v>38</v>
      </c>
    </row>
    <row r="942" spans="1:16" x14ac:dyDescent="0.3">
      <c r="A942">
        <v>2023</v>
      </c>
      <c r="B942">
        <v>197</v>
      </c>
      <c r="C942">
        <v>13</v>
      </c>
      <c r="D942" s="1">
        <v>2862</v>
      </c>
      <c r="E942" s="1" t="s">
        <v>16</v>
      </c>
      <c r="F942">
        <v>202</v>
      </c>
      <c r="G942">
        <v>1</v>
      </c>
      <c r="J942">
        <v>5.0999999999999996</v>
      </c>
      <c r="K942">
        <v>34</v>
      </c>
    </row>
    <row r="943" spans="1:16" x14ac:dyDescent="0.3">
      <c r="A943">
        <v>2023</v>
      </c>
      <c r="B943">
        <v>197</v>
      </c>
      <c r="C943">
        <v>14</v>
      </c>
      <c r="D943" s="1">
        <v>2863</v>
      </c>
      <c r="E943" s="1" t="s">
        <v>16</v>
      </c>
      <c r="F943">
        <v>202</v>
      </c>
      <c r="G943">
        <v>1</v>
      </c>
      <c r="J943">
        <v>6.3</v>
      </c>
      <c r="K943">
        <v>45</v>
      </c>
    </row>
    <row r="944" spans="1:16" x14ac:dyDescent="0.3">
      <c r="A944">
        <v>2023</v>
      </c>
      <c r="B944">
        <v>197</v>
      </c>
      <c r="C944">
        <v>15</v>
      </c>
      <c r="D944" s="1">
        <v>2864</v>
      </c>
      <c r="E944" s="1" t="s">
        <v>16</v>
      </c>
      <c r="F944">
        <v>202</v>
      </c>
      <c r="G944">
        <v>1</v>
      </c>
      <c r="J944">
        <v>9.1999999999999993</v>
      </c>
      <c r="K944">
        <v>56</v>
      </c>
    </row>
    <row r="945" spans="1:16" x14ac:dyDescent="0.3">
      <c r="A945">
        <v>2023</v>
      </c>
      <c r="B945">
        <v>197</v>
      </c>
      <c r="C945">
        <v>16</v>
      </c>
      <c r="D945" s="1">
        <v>2865</v>
      </c>
      <c r="E945" s="1" t="s">
        <v>16</v>
      </c>
      <c r="F945">
        <v>122</v>
      </c>
      <c r="G945">
        <v>1</v>
      </c>
      <c r="J945">
        <v>7.5</v>
      </c>
      <c r="K945">
        <v>33</v>
      </c>
    </row>
    <row r="946" spans="1:16" x14ac:dyDescent="0.3">
      <c r="A946">
        <v>2023</v>
      </c>
      <c r="B946">
        <v>197</v>
      </c>
      <c r="C946">
        <v>17</v>
      </c>
      <c r="D946" s="1">
        <v>2866</v>
      </c>
      <c r="E946" s="1" t="s">
        <v>16</v>
      </c>
      <c r="F946">
        <v>202</v>
      </c>
      <c r="G946">
        <v>1</v>
      </c>
      <c r="J946">
        <v>10.7</v>
      </c>
      <c r="K946">
        <v>56</v>
      </c>
    </row>
    <row r="947" spans="1:16" x14ac:dyDescent="0.3">
      <c r="A947">
        <v>2023</v>
      </c>
      <c r="B947">
        <v>197</v>
      </c>
      <c r="C947">
        <v>18</v>
      </c>
      <c r="D947" s="1">
        <v>2867</v>
      </c>
      <c r="E947" s="1" t="s">
        <v>16</v>
      </c>
      <c r="F947">
        <v>122</v>
      </c>
      <c r="G947">
        <v>1</v>
      </c>
      <c r="J947">
        <v>9.6</v>
      </c>
      <c r="K947">
        <v>48</v>
      </c>
    </row>
    <row r="948" spans="1:16" x14ac:dyDescent="0.3">
      <c r="A948">
        <v>2023</v>
      </c>
      <c r="B948">
        <v>197</v>
      </c>
      <c r="C948">
        <v>19</v>
      </c>
      <c r="D948" s="1">
        <v>2868</v>
      </c>
      <c r="E948" s="1" t="s">
        <v>16</v>
      </c>
      <c r="F948">
        <v>202</v>
      </c>
      <c r="G948">
        <v>1</v>
      </c>
      <c r="J948">
        <v>10.8</v>
      </c>
      <c r="K948">
        <v>54</v>
      </c>
    </row>
    <row r="949" spans="1:16" x14ac:dyDescent="0.3">
      <c r="A949">
        <v>2023</v>
      </c>
      <c r="B949">
        <v>197</v>
      </c>
      <c r="C949">
        <v>20</v>
      </c>
      <c r="D949" s="1">
        <v>2869</v>
      </c>
      <c r="E949" s="1" t="s">
        <v>16</v>
      </c>
      <c r="F949">
        <v>202</v>
      </c>
      <c r="G949">
        <v>1</v>
      </c>
      <c r="J949">
        <v>10.9</v>
      </c>
      <c r="K949">
        <v>57</v>
      </c>
    </row>
    <row r="950" spans="1:16" x14ac:dyDescent="0.3">
      <c r="A950">
        <v>2023</v>
      </c>
      <c r="B950">
        <v>197</v>
      </c>
      <c r="C950">
        <v>21</v>
      </c>
      <c r="D950" s="1">
        <v>2870</v>
      </c>
      <c r="E950" s="1" t="s">
        <v>16</v>
      </c>
      <c r="F950">
        <v>202</v>
      </c>
      <c r="G950">
        <v>1</v>
      </c>
      <c r="J950">
        <v>7.8</v>
      </c>
      <c r="K950">
        <v>45</v>
      </c>
    </row>
    <row r="951" spans="1:16" x14ac:dyDescent="0.3">
      <c r="A951">
        <v>2023</v>
      </c>
      <c r="B951">
        <v>197</v>
      </c>
      <c r="C951">
        <v>22</v>
      </c>
      <c r="D951" s="1">
        <v>2871</v>
      </c>
      <c r="E951" s="1" t="s">
        <v>16</v>
      </c>
      <c r="F951">
        <v>202</v>
      </c>
      <c r="G951">
        <v>1</v>
      </c>
      <c r="J951">
        <v>12.6</v>
      </c>
      <c r="K951">
        <v>62</v>
      </c>
    </row>
    <row r="952" spans="1:16" x14ac:dyDescent="0.3">
      <c r="A952">
        <v>2023</v>
      </c>
      <c r="B952">
        <v>197</v>
      </c>
      <c r="C952">
        <v>23</v>
      </c>
      <c r="D952" s="1">
        <v>2872</v>
      </c>
      <c r="E952" s="1" t="s">
        <v>16</v>
      </c>
      <c r="F952">
        <v>202</v>
      </c>
      <c r="G952">
        <v>1</v>
      </c>
      <c r="J952">
        <v>7.8</v>
      </c>
      <c r="K952">
        <v>50</v>
      </c>
      <c r="L952">
        <v>16</v>
      </c>
      <c r="M952" s="1">
        <v>35</v>
      </c>
      <c r="N952" s="1">
        <v>7</v>
      </c>
      <c r="P952" t="s">
        <v>116</v>
      </c>
    </row>
    <row r="953" spans="1:16" x14ac:dyDescent="0.3">
      <c r="A953">
        <v>2023</v>
      </c>
      <c r="B953">
        <v>197</v>
      </c>
      <c r="C953">
        <v>24</v>
      </c>
      <c r="D953" s="1">
        <v>2873</v>
      </c>
      <c r="E953" s="1" t="s">
        <v>16</v>
      </c>
      <c r="F953">
        <v>202</v>
      </c>
      <c r="G953">
        <v>1</v>
      </c>
      <c r="J953">
        <v>10.199999999999999</v>
      </c>
      <c r="K953">
        <v>59</v>
      </c>
      <c r="P953" t="s">
        <v>117</v>
      </c>
    </row>
    <row r="954" spans="1:16" x14ac:dyDescent="0.3">
      <c r="A954">
        <v>2023</v>
      </c>
      <c r="B954">
        <v>197</v>
      </c>
      <c r="C954">
        <v>25</v>
      </c>
      <c r="D954" s="1">
        <v>2874</v>
      </c>
      <c r="E954" s="1" t="s">
        <v>16</v>
      </c>
      <c r="F954">
        <v>202</v>
      </c>
      <c r="G954">
        <v>1</v>
      </c>
      <c r="J954">
        <v>4.4000000000000004</v>
      </c>
      <c r="P954" t="s">
        <v>118</v>
      </c>
    </row>
    <row r="955" spans="1:16" x14ac:dyDescent="0.3">
      <c r="A955">
        <v>2023</v>
      </c>
      <c r="B955">
        <v>197</v>
      </c>
      <c r="C955">
        <v>26</v>
      </c>
      <c r="D955" s="1">
        <v>2875</v>
      </c>
      <c r="E955" s="1" t="s">
        <v>16</v>
      </c>
      <c r="F955">
        <v>202</v>
      </c>
      <c r="G955">
        <v>1</v>
      </c>
      <c r="J955">
        <v>2.6</v>
      </c>
    </row>
    <row r="956" spans="1:16" x14ac:dyDescent="0.3">
      <c r="A956">
        <v>2023</v>
      </c>
      <c r="B956">
        <v>197</v>
      </c>
      <c r="C956">
        <v>27</v>
      </c>
      <c r="D956" s="1">
        <v>4585</v>
      </c>
      <c r="E956" s="1" t="s">
        <v>97</v>
      </c>
      <c r="F956">
        <v>202</v>
      </c>
      <c r="G956">
        <v>1</v>
      </c>
      <c r="H956" t="s">
        <v>98</v>
      </c>
      <c r="J956">
        <v>5</v>
      </c>
      <c r="K956">
        <v>35</v>
      </c>
    </row>
    <row r="957" spans="1:16" x14ac:dyDescent="0.3">
      <c r="A957">
        <v>2023</v>
      </c>
      <c r="B957">
        <v>198</v>
      </c>
      <c r="C957">
        <v>1</v>
      </c>
      <c r="D957" s="1">
        <v>2876</v>
      </c>
      <c r="E957" s="1" t="s">
        <v>16</v>
      </c>
      <c r="F957">
        <v>122</v>
      </c>
      <c r="G957">
        <v>1</v>
      </c>
      <c r="J957">
        <v>28.5</v>
      </c>
      <c r="K957">
        <v>118</v>
      </c>
    </row>
    <row r="958" spans="1:16" x14ac:dyDescent="0.3">
      <c r="A958">
        <v>2023</v>
      </c>
      <c r="B958">
        <v>198</v>
      </c>
      <c r="C958">
        <v>2</v>
      </c>
      <c r="D958" s="1">
        <v>2877</v>
      </c>
      <c r="E958" s="1" t="s">
        <v>16</v>
      </c>
      <c r="F958">
        <v>202</v>
      </c>
      <c r="G958">
        <v>1</v>
      </c>
      <c r="J958">
        <v>19.2</v>
      </c>
      <c r="K958">
        <v>80</v>
      </c>
    </row>
    <row r="959" spans="1:16" x14ac:dyDescent="0.3">
      <c r="A959">
        <v>2023</v>
      </c>
      <c r="B959">
        <v>198</v>
      </c>
      <c r="C959">
        <v>3</v>
      </c>
      <c r="D959" s="1">
        <v>2878</v>
      </c>
      <c r="E959" s="1" t="s">
        <v>16</v>
      </c>
      <c r="F959">
        <v>202</v>
      </c>
      <c r="G959">
        <v>1</v>
      </c>
      <c r="J959">
        <v>5.2</v>
      </c>
      <c r="K959">
        <v>25</v>
      </c>
    </row>
    <row r="960" spans="1:16" x14ac:dyDescent="0.3">
      <c r="A960">
        <v>2023</v>
      </c>
      <c r="B960">
        <v>198</v>
      </c>
      <c r="C960">
        <v>4</v>
      </c>
      <c r="D960" s="1">
        <v>2879</v>
      </c>
      <c r="E960" s="1" t="s">
        <v>16</v>
      </c>
      <c r="F960">
        <v>202</v>
      </c>
      <c r="G960">
        <v>1</v>
      </c>
      <c r="J960">
        <v>1.4</v>
      </c>
    </row>
    <row r="961" spans="1:16" x14ac:dyDescent="0.3">
      <c r="A961">
        <v>2023</v>
      </c>
      <c r="B961">
        <v>198</v>
      </c>
      <c r="C961">
        <v>5</v>
      </c>
      <c r="D961" s="1">
        <v>2880</v>
      </c>
      <c r="E961" s="1" t="s">
        <v>16</v>
      </c>
      <c r="F961">
        <v>202</v>
      </c>
      <c r="G961">
        <v>1</v>
      </c>
      <c r="J961">
        <v>1.2</v>
      </c>
    </row>
    <row r="962" spans="1:16" x14ac:dyDescent="0.3">
      <c r="A962">
        <v>2023</v>
      </c>
      <c r="B962">
        <v>198</v>
      </c>
      <c r="C962">
        <v>6</v>
      </c>
      <c r="D962" s="1">
        <v>2881</v>
      </c>
      <c r="E962" s="1" t="s">
        <v>16</v>
      </c>
      <c r="F962">
        <v>202</v>
      </c>
      <c r="G962">
        <v>1</v>
      </c>
      <c r="J962">
        <v>1.8</v>
      </c>
    </row>
    <row r="963" spans="1:16" x14ac:dyDescent="0.3">
      <c r="A963">
        <v>2023</v>
      </c>
      <c r="B963">
        <v>198</v>
      </c>
      <c r="C963">
        <v>7</v>
      </c>
      <c r="D963" s="1">
        <v>4586</v>
      </c>
      <c r="E963" s="1" t="s">
        <v>97</v>
      </c>
      <c r="F963">
        <v>122</v>
      </c>
      <c r="G963">
        <v>1</v>
      </c>
      <c r="H963" t="s">
        <v>98</v>
      </c>
      <c r="J963">
        <v>5.9</v>
      </c>
      <c r="K963">
        <v>40</v>
      </c>
      <c r="P963" t="s">
        <v>119</v>
      </c>
    </row>
    <row r="964" spans="1:16" x14ac:dyDescent="0.3">
      <c r="A964">
        <v>2023</v>
      </c>
      <c r="B964">
        <v>238</v>
      </c>
      <c r="C964">
        <v>1</v>
      </c>
      <c r="D964" s="1">
        <v>3305</v>
      </c>
      <c r="E964" s="1" t="s">
        <v>16</v>
      </c>
      <c r="F964">
        <v>73</v>
      </c>
      <c r="G964">
        <v>1</v>
      </c>
      <c r="J964">
        <v>8.5</v>
      </c>
      <c r="K964">
        <v>61</v>
      </c>
    </row>
    <row r="965" spans="1:16" x14ac:dyDescent="0.3">
      <c r="A965">
        <v>2023</v>
      </c>
      <c r="B965">
        <v>238</v>
      </c>
      <c r="C965">
        <v>2</v>
      </c>
      <c r="D965" s="1">
        <v>3306</v>
      </c>
      <c r="E965" s="1" t="s">
        <v>16</v>
      </c>
      <c r="F965">
        <v>73</v>
      </c>
      <c r="G965">
        <v>1</v>
      </c>
      <c r="J965">
        <v>7.4</v>
      </c>
      <c r="K965">
        <v>49</v>
      </c>
    </row>
    <row r="966" spans="1:16" x14ac:dyDescent="0.3">
      <c r="A966">
        <v>2023</v>
      </c>
      <c r="B966">
        <v>238</v>
      </c>
      <c r="C966">
        <v>3</v>
      </c>
      <c r="D966" s="1">
        <v>3307</v>
      </c>
      <c r="E966" s="1" t="s">
        <v>16</v>
      </c>
      <c r="F966">
        <v>202</v>
      </c>
      <c r="G966">
        <v>1</v>
      </c>
      <c r="J966">
        <v>16.899999999999999</v>
      </c>
      <c r="K966">
        <v>63</v>
      </c>
    </row>
    <row r="967" spans="1:16" x14ac:dyDescent="0.3">
      <c r="A967">
        <v>2023</v>
      </c>
      <c r="B967">
        <v>238</v>
      </c>
      <c r="C967">
        <v>4</v>
      </c>
      <c r="D967" s="1">
        <v>3308</v>
      </c>
      <c r="E967" s="1" t="s">
        <v>16</v>
      </c>
      <c r="F967">
        <v>202</v>
      </c>
      <c r="G967">
        <v>1</v>
      </c>
      <c r="J967">
        <v>10.7</v>
      </c>
      <c r="K967">
        <v>65</v>
      </c>
    </row>
    <row r="968" spans="1:16" x14ac:dyDescent="0.3">
      <c r="A968">
        <v>2023</v>
      </c>
      <c r="B968">
        <v>238</v>
      </c>
      <c r="C968">
        <v>5</v>
      </c>
      <c r="D968" s="1">
        <v>3309</v>
      </c>
      <c r="E968" s="1" t="s">
        <v>16</v>
      </c>
      <c r="F968">
        <v>73</v>
      </c>
      <c r="G968">
        <v>1</v>
      </c>
      <c r="J968">
        <v>12.9</v>
      </c>
      <c r="K968">
        <v>65</v>
      </c>
    </row>
    <row r="969" spans="1:16" x14ac:dyDescent="0.3">
      <c r="A969">
        <v>2023</v>
      </c>
      <c r="B969">
        <v>238</v>
      </c>
      <c r="C969">
        <v>6</v>
      </c>
      <c r="D969" s="1">
        <v>3310</v>
      </c>
      <c r="E969" s="1" t="s">
        <v>16</v>
      </c>
      <c r="F969">
        <v>73</v>
      </c>
      <c r="G969">
        <v>1</v>
      </c>
      <c r="J969">
        <v>5.2</v>
      </c>
      <c r="K969">
        <v>33</v>
      </c>
    </row>
    <row r="970" spans="1:16" x14ac:dyDescent="0.3">
      <c r="A970">
        <v>2023</v>
      </c>
      <c r="B970">
        <v>238</v>
      </c>
      <c r="C970">
        <v>7</v>
      </c>
      <c r="D970" s="1">
        <v>3311</v>
      </c>
      <c r="E970" s="1" t="s">
        <v>16</v>
      </c>
      <c r="F970">
        <v>122</v>
      </c>
      <c r="G970">
        <v>1</v>
      </c>
      <c r="J970">
        <v>21.4</v>
      </c>
      <c r="K970">
        <v>95</v>
      </c>
    </row>
    <row r="971" spans="1:16" x14ac:dyDescent="0.3">
      <c r="A971">
        <v>2023</v>
      </c>
      <c r="B971">
        <v>238</v>
      </c>
      <c r="C971">
        <v>8</v>
      </c>
      <c r="D971" s="1">
        <v>3312</v>
      </c>
      <c r="E971" s="1" t="s">
        <v>16</v>
      </c>
      <c r="F971">
        <v>202</v>
      </c>
      <c r="G971">
        <v>1</v>
      </c>
      <c r="J971">
        <v>23.1</v>
      </c>
      <c r="K971">
        <v>83</v>
      </c>
    </row>
    <row r="972" spans="1:16" x14ac:dyDescent="0.3">
      <c r="A972">
        <v>2023</v>
      </c>
      <c r="B972">
        <v>238</v>
      </c>
      <c r="C972">
        <v>9</v>
      </c>
      <c r="D972" s="1">
        <v>3313</v>
      </c>
      <c r="E972" s="1" t="s">
        <v>16</v>
      </c>
      <c r="F972">
        <v>73</v>
      </c>
      <c r="G972">
        <v>1</v>
      </c>
      <c r="J972">
        <v>1.6</v>
      </c>
    </row>
    <row r="973" spans="1:16" x14ac:dyDescent="0.3">
      <c r="A973">
        <v>2023</v>
      </c>
      <c r="B973">
        <v>238</v>
      </c>
      <c r="C973">
        <v>10</v>
      </c>
      <c r="D973" s="1">
        <v>3314</v>
      </c>
      <c r="E973" s="1" t="s">
        <v>16</v>
      </c>
      <c r="F973">
        <v>73</v>
      </c>
      <c r="G973">
        <v>1</v>
      </c>
      <c r="J973">
        <v>1.8</v>
      </c>
    </row>
    <row r="974" spans="1:16" x14ac:dyDescent="0.3">
      <c r="A974">
        <v>2023</v>
      </c>
      <c r="B974">
        <v>238</v>
      </c>
      <c r="C974">
        <v>11</v>
      </c>
      <c r="D974" s="1">
        <v>3315</v>
      </c>
      <c r="E974" s="1" t="s">
        <v>16</v>
      </c>
      <c r="F974">
        <v>202</v>
      </c>
      <c r="G974">
        <v>1</v>
      </c>
      <c r="J974">
        <v>1.5</v>
      </c>
    </row>
    <row r="975" spans="1:16" x14ac:dyDescent="0.3">
      <c r="A975">
        <v>2023</v>
      </c>
      <c r="B975">
        <v>238</v>
      </c>
      <c r="C975">
        <v>12</v>
      </c>
      <c r="D975" s="1">
        <v>3316</v>
      </c>
      <c r="E975" s="1" t="s">
        <v>16</v>
      </c>
      <c r="F975">
        <v>202</v>
      </c>
      <c r="G975">
        <v>1</v>
      </c>
      <c r="J975">
        <v>1.8</v>
      </c>
    </row>
    <row r="976" spans="1:16" x14ac:dyDescent="0.3">
      <c r="A976">
        <v>2023</v>
      </c>
      <c r="B976">
        <v>238</v>
      </c>
      <c r="C976">
        <v>13</v>
      </c>
      <c r="D976" s="1">
        <v>3317</v>
      </c>
      <c r="E976" s="1" t="s">
        <v>16</v>
      </c>
      <c r="F976">
        <v>202</v>
      </c>
      <c r="G976">
        <v>1</v>
      </c>
      <c r="J976">
        <v>1.8</v>
      </c>
    </row>
    <row r="977" spans="1:10" x14ac:dyDescent="0.3">
      <c r="A977">
        <v>2023</v>
      </c>
      <c r="B977">
        <v>238</v>
      </c>
      <c r="C977">
        <v>14</v>
      </c>
      <c r="D977" s="1">
        <v>3318</v>
      </c>
      <c r="E977" s="1" t="s">
        <v>16</v>
      </c>
      <c r="F977">
        <v>202</v>
      </c>
      <c r="G977">
        <v>1</v>
      </c>
      <c r="J977">
        <v>1.4</v>
      </c>
    </row>
    <row r="978" spans="1:10" x14ac:dyDescent="0.3">
      <c r="A978">
        <v>2023</v>
      </c>
      <c r="B978">
        <v>238</v>
      </c>
      <c r="C978">
        <v>15</v>
      </c>
      <c r="D978" s="1">
        <v>3319</v>
      </c>
      <c r="E978" s="1" t="s">
        <v>16</v>
      </c>
      <c r="F978">
        <v>202</v>
      </c>
      <c r="G978">
        <v>1</v>
      </c>
      <c r="J978">
        <v>2</v>
      </c>
    </row>
    <row r="979" spans="1:10" x14ac:dyDescent="0.3">
      <c r="A979">
        <v>2023</v>
      </c>
      <c r="B979">
        <v>238</v>
      </c>
      <c r="C979">
        <v>16</v>
      </c>
      <c r="D979" s="1">
        <v>3320</v>
      </c>
      <c r="E979" s="1" t="s">
        <v>16</v>
      </c>
      <c r="F979">
        <v>202</v>
      </c>
      <c r="G979">
        <v>1</v>
      </c>
      <c r="J979">
        <v>1.2</v>
      </c>
    </row>
    <row r="980" spans="1:10" x14ac:dyDescent="0.3">
      <c r="A980">
        <v>2023</v>
      </c>
      <c r="B980">
        <v>238</v>
      </c>
      <c r="C980">
        <v>17</v>
      </c>
      <c r="D980" s="1">
        <v>3321</v>
      </c>
      <c r="E980" s="1" t="s">
        <v>16</v>
      </c>
      <c r="F980">
        <v>202</v>
      </c>
      <c r="G980">
        <v>1</v>
      </c>
      <c r="J980">
        <v>2.9</v>
      </c>
    </row>
    <row r="981" spans="1:10" x14ac:dyDescent="0.3">
      <c r="A981">
        <v>2023</v>
      </c>
      <c r="B981">
        <v>238</v>
      </c>
      <c r="C981">
        <v>18</v>
      </c>
      <c r="D981" s="1">
        <v>3322</v>
      </c>
      <c r="E981" s="1" t="s">
        <v>16</v>
      </c>
      <c r="F981">
        <v>202</v>
      </c>
      <c r="G981">
        <v>1</v>
      </c>
      <c r="J981">
        <v>1.7</v>
      </c>
    </row>
    <row r="982" spans="1:10" x14ac:dyDescent="0.3">
      <c r="A982">
        <v>2023</v>
      </c>
      <c r="B982">
        <v>238</v>
      </c>
      <c r="C982">
        <v>19</v>
      </c>
      <c r="D982" s="1">
        <v>3323</v>
      </c>
      <c r="E982" s="1" t="s">
        <v>16</v>
      </c>
      <c r="F982">
        <v>202</v>
      </c>
      <c r="G982">
        <v>1</v>
      </c>
      <c r="J982">
        <v>2</v>
      </c>
    </row>
    <row r="983" spans="1:10" x14ac:dyDescent="0.3">
      <c r="A983">
        <v>2023</v>
      </c>
      <c r="B983">
        <v>238</v>
      </c>
      <c r="C983">
        <v>20</v>
      </c>
      <c r="D983" s="1">
        <v>3324</v>
      </c>
      <c r="E983" s="1" t="s">
        <v>16</v>
      </c>
      <c r="F983">
        <v>202</v>
      </c>
      <c r="G983">
        <v>1</v>
      </c>
      <c r="J983">
        <v>2.1</v>
      </c>
    </row>
    <row r="984" spans="1:10" x14ac:dyDescent="0.3">
      <c r="A984">
        <v>2023</v>
      </c>
      <c r="B984">
        <v>238</v>
      </c>
      <c r="C984">
        <v>21</v>
      </c>
      <c r="D984" s="1">
        <v>3325</v>
      </c>
      <c r="E984" s="1" t="s">
        <v>16</v>
      </c>
      <c r="F984">
        <v>202</v>
      </c>
      <c r="G984">
        <v>1</v>
      </c>
      <c r="J984">
        <v>2.6</v>
      </c>
    </row>
    <row r="985" spans="1:10" x14ac:dyDescent="0.3">
      <c r="A985">
        <v>2023</v>
      </c>
      <c r="B985">
        <v>238</v>
      </c>
      <c r="C985">
        <v>22</v>
      </c>
      <c r="D985" s="1">
        <v>3326</v>
      </c>
      <c r="E985" s="1" t="s">
        <v>16</v>
      </c>
      <c r="F985">
        <v>202</v>
      </c>
      <c r="G985">
        <v>1</v>
      </c>
      <c r="J985">
        <v>2.5</v>
      </c>
    </row>
    <row r="986" spans="1:10" x14ac:dyDescent="0.3">
      <c r="A986">
        <v>2023</v>
      </c>
      <c r="B986">
        <v>238</v>
      </c>
      <c r="C986">
        <v>23</v>
      </c>
      <c r="D986" s="1">
        <v>3327</v>
      </c>
      <c r="E986" s="1" t="s">
        <v>16</v>
      </c>
      <c r="F986">
        <v>202</v>
      </c>
      <c r="G986">
        <v>1</v>
      </c>
      <c r="J986">
        <v>2.9</v>
      </c>
    </row>
    <row r="987" spans="1:10" x14ac:dyDescent="0.3">
      <c r="A987">
        <v>2023</v>
      </c>
      <c r="B987">
        <v>238</v>
      </c>
      <c r="C987">
        <v>24</v>
      </c>
      <c r="D987" s="1">
        <v>3328</v>
      </c>
      <c r="E987" s="1" t="s">
        <v>16</v>
      </c>
      <c r="F987">
        <v>202</v>
      </c>
      <c r="G987">
        <v>1</v>
      </c>
      <c r="J987">
        <v>3.2</v>
      </c>
    </row>
    <row r="988" spans="1:10" x14ac:dyDescent="0.3">
      <c r="A988">
        <v>2023</v>
      </c>
      <c r="B988">
        <v>238</v>
      </c>
      <c r="C988">
        <v>25</v>
      </c>
      <c r="D988" s="1">
        <v>3329</v>
      </c>
      <c r="E988" s="1" t="s">
        <v>16</v>
      </c>
      <c r="F988">
        <v>202</v>
      </c>
      <c r="G988">
        <v>1</v>
      </c>
      <c r="J988">
        <v>1.2</v>
      </c>
    </row>
    <row r="989" spans="1:10" x14ac:dyDescent="0.3">
      <c r="A989">
        <v>2023</v>
      </c>
      <c r="B989">
        <v>238</v>
      </c>
      <c r="C989">
        <v>26</v>
      </c>
      <c r="D989" s="1">
        <v>3330</v>
      </c>
      <c r="E989" s="1" t="s">
        <v>16</v>
      </c>
      <c r="F989">
        <v>202</v>
      </c>
      <c r="G989">
        <v>1</v>
      </c>
      <c r="J989">
        <v>2</v>
      </c>
    </row>
    <row r="990" spans="1:10" x14ac:dyDescent="0.3">
      <c r="A990">
        <v>2023</v>
      </c>
      <c r="B990">
        <v>238</v>
      </c>
      <c r="C990">
        <v>27</v>
      </c>
      <c r="D990" s="1">
        <v>3331</v>
      </c>
      <c r="E990" s="1" t="s">
        <v>16</v>
      </c>
      <c r="F990">
        <v>202</v>
      </c>
      <c r="G990">
        <v>1</v>
      </c>
      <c r="J990">
        <v>1.3</v>
      </c>
    </row>
    <row r="991" spans="1:10" x14ac:dyDescent="0.3">
      <c r="A991">
        <v>2023</v>
      </c>
      <c r="B991">
        <v>238</v>
      </c>
      <c r="C991">
        <v>28</v>
      </c>
      <c r="D991" s="1">
        <v>3332</v>
      </c>
      <c r="E991" s="1" t="s">
        <v>16</v>
      </c>
      <c r="F991">
        <v>202</v>
      </c>
      <c r="G991">
        <v>1</v>
      </c>
      <c r="J991">
        <v>2.2000000000000002</v>
      </c>
    </row>
    <row r="992" spans="1:10" x14ac:dyDescent="0.3">
      <c r="A992">
        <v>2023</v>
      </c>
      <c r="B992">
        <v>238</v>
      </c>
      <c r="C992">
        <v>29</v>
      </c>
      <c r="D992" s="1">
        <v>3333</v>
      </c>
      <c r="E992" s="1" t="s">
        <v>16</v>
      </c>
      <c r="F992">
        <v>202</v>
      </c>
      <c r="G992">
        <v>1</v>
      </c>
      <c r="J992">
        <v>2.2999999999999998</v>
      </c>
    </row>
    <row r="993" spans="1:16" x14ac:dyDescent="0.3">
      <c r="A993">
        <v>2023</v>
      </c>
      <c r="B993">
        <v>238</v>
      </c>
      <c r="C993">
        <v>30</v>
      </c>
      <c r="D993" s="1">
        <v>4616</v>
      </c>
      <c r="E993" s="1" t="s">
        <v>97</v>
      </c>
      <c r="F993">
        <v>202</v>
      </c>
      <c r="G993">
        <v>1</v>
      </c>
      <c r="H993" t="s">
        <v>98</v>
      </c>
      <c r="J993">
        <v>1</v>
      </c>
      <c r="P993" t="s">
        <v>120</v>
      </c>
    </row>
    <row r="994" spans="1:16" x14ac:dyDescent="0.3">
      <c r="A994">
        <v>2023</v>
      </c>
      <c r="B994">
        <v>238</v>
      </c>
      <c r="C994">
        <v>31</v>
      </c>
      <c r="D994" s="1">
        <v>4617</v>
      </c>
      <c r="E994" s="1" t="s">
        <v>97</v>
      </c>
      <c r="F994">
        <v>202</v>
      </c>
      <c r="G994">
        <v>1</v>
      </c>
      <c r="H994" t="s">
        <v>98</v>
      </c>
      <c r="J994">
        <v>1.1000000000000001</v>
      </c>
      <c r="P994" t="s">
        <v>121</v>
      </c>
    </row>
    <row r="995" spans="1:16" x14ac:dyDescent="0.3">
      <c r="A995">
        <v>2023</v>
      </c>
      <c r="B995">
        <v>238</v>
      </c>
      <c r="C995">
        <v>32</v>
      </c>
      <c r="D995" s="1">
        <v>4618</v>
      </c>
      <c r="E995" s="1" t="s">
        <v>97</v>
      </c>
      <c r="F995">
        <v>202</v>
      </c>
      <c r="G995">
        <v>1</v>
      </c>
      <c r="H995" t="s">
        <v>98</v>
      </c>
      <c r="J995">
        <v>1</v>
      </c>
      <c r="P995" t="s">
        <v>122</v>
      </c>
    </row>
    <row r="996" spans="1:16" x14ac:dyDescent="0.3">
      <c r="A996">
        <v>2023</v>
      </c>
      <c r="B996">
        <v>240</v>
      </c>
      <c r="C996">
        <v>1</v>
      </c>
      <c r="D996" s="1">
        <v>3347</v>
      </c>
      <c r="E996" s="1" t="s">
        <v>16</v>
      </c>
      <c r="F996">
        <v>202</v>
      </c>
      <c r="G996">
        <v>1</v>
      </c>
      <c r="J996">
        <v>8.4</v>
      </c>
      <c r="K996">
        <v>50</v>
      </c>
    </row>
    <row r="997" spans="1:16" x14ac:dyDescent="0.3">
      <c r="A997">
        <v>2023</v>
      </c>
      <c r="B997">
        <v>240</v>
      </c>
      <c r="C997">
        <v>2</v>
      </c>
      <c r="D997" s="1">
        <v>3348</v>
      </c>
      <c r="E997" s="1" t="s">
        <v>16</v>
      </c>
      <c r="F997">
        <v>202</v>
      </c>
      <c r="G997">
        <v>1</v>
      </c>
      <c r="J997">
        <v>14.9</v>
      </c>
      <c r="K997">
        <v>70</v>
      </c>
    </row>
    <row r="998" spans="1:16" x14ac:dyDescent="0.3">
      <c r="A998">
        <v>2023</v>
      </c>
      <c r="B998">
        <v>240</v>
      </c>
      <c r="C998">
        <v>3</v>
      </c>
      <c r="D998" s="1">
        <v>3349</v>
      </c>
      <c r="E998" s="1" t="s">
        <v>16</v>
      </c>
      <c r="F998">
        <v>202</v>
      </c>
      <c r="G998">
        <v>1</v>
      </c>
      <c r="J998">
        <v>6.4</v>
      </c>
      <c r="K998">
        <v>40</v>
      </c>
      <c r="O998">
        <v>4</v>
      </c>
    </row>
    <row r="999" spans="1:16" x14ac:dyDescent="0.3">
      <c r="A999">
        <v>2023</v>
      </c>
      <c r="B999">
        <v>240</v>
      </c>
      <c r="C999">
        <v>4</v>
      </c>
      <c r="D999" s="1">
        <v>3350</v>
      </c>
      <c r="E999" s="1" t="s">
        <v>16</v>
      </c>
      <c r="F999">
        <v>202</v>
      </c>
      <c r="G999">
        <v>1</v>
      </c>
      <c r="J999">
        <v>7.1</v>
      </c>
      <c r="K999">
        <v>35</v>
      </c>
    </row>
    <row r="1000" spans="1:16" x14ac:dyDescent="0.3">
      <c r="A1000">
        <v>2023</v>
      </c>
      <c r="B1000">
        <v>240</v>
      </c>
      <c r="C1000">
        <v>5</v>
      </c>
      <c r="D1000" s="1">
        <v>3351</v>
      </c>
      <c r="E1000" s="1" t="s">
        <v>16</v>
      </c>
      <c r="F1000">
        <v>202</v>
      </c>
      <c r="G1000">
        <v>1</v>
      </c>
      <c r="J1000">
        <v>12.8</v>
      </c>
      <c r="K1000">
        <v>62</v>
      </c>
    </row>
    <row r="1001" spans="1:16" x14ac:dyDescent="0.3">
      <c r="A1001">
        <v>2023</v>
      </c>
      <c r="B1001">
        <v>240</v>
      </c>
      <c r="C1001">
        <v>6</v>
      </c>
      <c r="D1001" s="1">
        <v>3352</v>
      </c>
      <c r="E1001" s="1" t="s">
        <v>16</v>
      </c>
      <c r="F1001">
        <v>202</v>
      </c>
      <c r="G1001">
        <v>1</v>
      </c>
      <c r="J1001">
        <v>6.4</v>
      </c>
      <c r="K1001">
        <v>40</v>
      </c>
    </row>
    <row r="1002" spans="1:16" x14ac:dyDescent="0.3">
      <c r="A1002">
        <v>2023</v>
      </c>
      <c r="B1002">
        <v>240</v>
      </c>
      <c r="C1002">
        <v>7</v>
      </c>
      <c r="D1002" s="1">
        <v>3353</v>
      </c>
      <c r="E1002" s="1" t="s">
        <v>16</v>
      </c>
      <c r="F1002">
        <v>202</v>
      </c>
      <c r="G1002">
        <v>1</v>
      </c>
      <c r="J1002">
        <v>6.7</v>
      </c>
      <c r="K1002">
        <v>44</v>
      </c>
    </row>
    <row r="1003" spans="1:16" x14ac:dyDescent="0.3">
      <c r="A1003">
        <v>2023</v>
      </c>
      <c r="B1003">
        <v>240</v>
      </c>
      <c r="C1003">
        <v>8</v>
      </c>
      <c r="D1003" s="1">
        <v>3354</v>
      </c>
      <c r="E1003" s="1" t="s">
        <v>16</v>
      </c>
      <c r="F1003">
        <v>202</v>
      </c>
      <c r="G1003">
        <v>1</v>
      </c>
      <c r="J1003">
        <v>16.2</v>
      </c>
      <c r="K1003">
        <v>67</v>
      </c>
    </row>
    <row r="1004" spans="1:16" x14ac:dyDescent="0.3">
      <c r="A1004">
        <v>2023</v>
      </c>
      <c r="B1004">
        <v>240</v>
      </c>
      <c r="C1004">
        <v>9</v>
      </c>
      <c r="D1004" s="1">
        <v>3355</v>
      </c>
      <c r="E1004" s="1" t="s">
        <v>16</v>
      </c>
      <c r="F1004">
        <v>202</v>
      </c>
      <c r="G1004">
        <v>1</v>
      </c>
      <c r="J1004">
        <v>10.9</v>
      </c>
      <c r="K1004">
        <v>60</v>
      </c>
    </row>
    <row r="1005" spans="1:16" x14ac:dyDescent="0.3">
      <c r="A1005">
        <v>2023</v>
      </c>
      <c r="B1005">
        <v>240</v>
      </c>
      <c r="C1005">
        <v>10</v>
      </c>
      <c r="D1005" s="1">
        <v>3356</v>
      </c>
      <c r="E1005" s="1" t="s">
        <v>16</v>
      </c>
      <c r="F1005">
        <v>202</v>
      </c>
      <c r="G1005">
        <v>1</v>
      </c>
      <c r="J1005">
        <v>14.9</v>
      </c>
      <c r="K1005">
        <v>63</v>
      </c>
    </row>
    <row r="1006" spans="1:16" x14ac:dyDescent="0.3">
      <c r="A1006">
        <v>2023</v>
      </c>
      <c r="B1006">
        <v>240</v>
      </c>
      <c r="C1006">
        <v>11</v>
      </c>
      <c r="D1006" s="1">
        <v>3357</v>
      </c>
      <c r="E1006" s="1" t="s">
        <v>16</v>
      </c>
      <c r="F1006">
        <v>202</v>
      </c>
      <c r="G1006">
        <v>1</v>
      </c>
      <c r="J1006">
        <v>9.5</v>
      </c>
      <c r="K1006">
        <v>52</v>
      </c>
    </row>
    <row r="1007" spans="1:16" x14ac:dyDescent="0.3">
      <c r="A1007">
        <v>2023</v>
      </c>
      <c r="B1007">
        <v>240</v>
      </c>
      <c r="C1007">
        <v>12</v>
      </c>
      <c r="D1007" s="1">
        <v>3358</v>
      </c>
      <c r="E1007" s="1" t="s">
        <v>16</v>
      </c>
      <c r="F1007">
        <v>202</v>
      </c>
      <c r="G1007">
        <v>1</v>
      </c>
      <c r="J1007">
        <v>8.6</v>
      </c>
      <c r="K1007">
        <v>51</v>
      </c>
    </row>
    <row r="1008" spans="1:16" x14ac:dyDescent="0.3">
      <c r="A1008">
        <v>2023</v>
      </c>
      <c r="B1008">
        <v>240</v>
      </c>
      <c r="C1008">
        <v>13</v>
      </c>
      <c r="D1008" s="1">
        <v>3359</v>
      </c>
      <c r="E1008" s="1" t="s">
        <v>16</v>
      </c>
      <c r="F1008">
        <v>202</v>
      </c>
      <c r="G1008">
        <v>1</v>
      </c>
      <c r="J1008">
        <v>11.8</v>
      </c>
      <c r="K1008">
        <v>43</v>
      </c>
    </row>
    <row r="1009" spans="1:16" x14ac:dyDescent="0.3">
      <c r="A1009">
        <v>2023</v>
      </c>
      <c r="B1009">
        <v>240</v>
      </c>
      <c r="C1009">
        <v>14</v>
      </c>
      <c r="D1009" s="1">
        <v>3360</v>
      </c>
      <c r="E1009" s="1" t="s">
        <v>16</v>
      </c>
      <c r="F1009">
        <v>202</v>
      </c>
      <c r="G1009">
        <v>1</v>
      </c>
      <c r="J1009">
        <v>6.5</v>
      </c>
      <c r="K1009">
        <v>34</v>
      </c>
    </row>
    <row r="1010" spans="1:16" x14ac:dyDescent="0.3">
      <c r="A1010">
        <v>2023</v>
      </c>
      <c r="B1010">
        <v>240</v>
      </c>
      <c r="C1010">
        <v>15</v>
      </c>
      <c r="D1010" s="1">
        <v>3361</v>
      </c>
      <c r="E1010" s="1" t="s">
        <v>16</v>
      </c>
      <c r="F1010">
        <v>202</v>
      </c>
      <c r="G1010">
        <v>1</v>
      </c>
      <c r="J1010">
        <v>5.4</v>
      </c>
      <c r="K1010">
        <v>23</v>
      </c>
    </row>
    <row r="1011" spans="1:16" x14ac:dyDescent="0.3">
      <c r="A1011">
        <v>2023</v>
      </c>
      <c r="B1011">
        <v>240</v>
      </c>
      <c r="C1011">
        <v>16</v>
      </c>
      <c r="D1011" s="1">
        <v>3362</v>
      </c>
      <c r="E1011" s="1" t="s">
        <v>16</v>
      </c>
      <c r="F1011">
        <v>202</v>
      </c>
      <c r="G1011">
        <v>1</v>
      </c>
      <c r="J1011">
        <v>19.2</v>
      </c>
      <c r="K1011">
        <v>70</v>
      </c>
    </row>
    <row r="1012" spans="1:16" x14ac:dyDescent="0.3">
      <c r="A1012">
        <v>2023</v>
      </c>
      <c r="B1012">
        <v>240</v>
      </c>
      <c r="C1012">
        <v>17</v>
      </c>
      <c r="D1012" s="1">
        <v>3363</v>
      </c>
      <c r="E1012" s="1" t="s">
        <v>16</v>
      </c>
      <c r="F1012">
        <v>202</v>
      </c>
      <c r="G1012">
        <v>1</v>
      </c>
      <c r="J1012">
        <v>11.3</v>
      </c>
      <c r="K1012">
        <v>58</v>
      </c>
    </row>
    <row r="1013" spans="1:16" x14ac:dyDescent="0.3">
      <c r="A1013">
        <v>2023</v>
      </c>
      <c r="B1013">
        <v>240</v>
      </c>
      <c r="C1013">
        <v>18</v>
      </c>
      <c r="D1013" s="1">
        <v>3364</v>
      </c>
      <c r="E1013" s="1" t="s">
        <v>16</v>
      </c>
      <c r="F1013">
        <v>202</v>
      </c>
      <c r="G1013">
        <v>1</v>
      </c>
      <c r="J1013">
        <v>20.6</v>
      </c>
      <c r="K1013">
        <v>81</v>
      </c>
    </row>
    <row r="1014" spans="1:16" x14ac:dyDescent="0.3">
      <c r="A1014">
        <v>2023</v>
      </c>
      <c r="B1014">
        <v>240</v>
      </c>
      <c r="C1014">
        <v>19</v>
      </c>
      <c r="D1014" s="1">
        <v>3365</v>
      </c>
      <c r="E1014" s="1" t="s">
        <v>16</v>
      </c>
      <c r="F1014">
        <v>202</v>
      </c>
      <c r="G1014">
        <v>1</v>
      </c>
      <c r="J1014">
        <v>18.600000000000001</v>
      </c>
      <c r="K1014">
        <v>76</v>
      </c>
    </row>
    <row r="1015" spans="1:16" x14ac:dyDescent="0.3">
      <c r="A1015">
        <v>2023</v>
      </c>
      <c r="B1015">
        <v>240</v>
      </c>
      <c r="C1015">
        <v>20</v>
      </c>
      <c r="D1015" s="1">
        <v>3366</v>
      </c>
      <c r="E1015" s="1" t="s">
        <v>16</v>
      </c>
      <c r="F1015">
        <v>202</v>
      </c>
      <c r="G1015">
        <v>1</v>
      </c>
      <c r="J1015">
        <v>12.8</v>
      </c>
      <c r="K1015">
        <v>63</v>
      </c>
    </row>
    <row r="1016" spans="1:16" x14ac:dyDescent="0.3">
      <c r="A1016">
        <v>2023</v>
      </c>
      <c r="B1016">
        <v>240</v>
      </c>
      <c r="C1016">
        <v>21</v>
      </c>
      <c r="D1016" s="1">
        <v>3367</v>
      </c>
      <c r="E1016" s="1" t="s">
        <v>19</v>
      </c>
      <c r="F1016">
        <v>202</v>
      </c>
      <c r="G1016">
        <v>0</v>
      </c>
      <c r="H1016" t="s">
        <v>89</v>
      </c>
      <c r="P1016" t="s">
        <v>96</v>
      </c>
    </row>
    <row r="1017" spans="1:16" x14ac:dyDescent="0.3">
      <c r="A1017">
        <v>2023</v>
      </c>
      <c r="B1017">
        <v>242</v>
      </c>
      <c r="C1017">
        <v>1</v>
      </c>
      <c r="D1017" s="1">
        <v>3378</v>
      </c>
      <c r="E1017" s="1" t="s">
        <v>16</v>
      </c>
      <c r="F1017">
        <v>93</v>
      </c>
      <c r="G1017">
        <v>1</v>
      </c>
      <c r="J1017">
        <v>6</v>
      </c>
      <c r="K1017">
        <v>29</v>
      </c>
    </row>
    <row r="1018" spans="1:16" x14ac:dyDescent="0.3">
      <c r="A1018">
        <v>2023</v>
      </c>
      <c r="B1018">
        <v>242</v>
      </c>
      <c r="C1018">
        <v>2</v>
      </c>
      <c r="D1018" s="1">
        <v>3379</v>
      </c>
      <c r="E1018" s="1" t="s">
        <v>25</v>
      </c>
      <c r="F1018">
        <v>17</v>
      </c>
      <c r="G1018">
        <v>2</v>
      </c>
      <c r="I1018">
        <v>1</v>
      </c>
      <c r="J1018">
        <v>7.9</v>
      </c>
      <c r="K1018">
        <v>55</v>
      </c>
    </row>
    <row r="1019" spans="1:16" x14ac:dyDescent="0.3">
      <c r="A1019">
        <v>2023</v>
      </c>
      <c r="B1019">
        <v>242</v>
      </c>
      <c r="C1019">
        <v>3</v>
      </c>
      <c r="D1019" s="1">
        <v>3380</v>
      </c>
      <c r="E1019" s="1" t="s">
        <v>34</v>
      </c>
      <c r="F1019">
        <v>17</v>
      </c>
      <c r="G1019">
        <v>2</v>
      </c>
      <c r="I1019">
        <v>1</v>
      </c>
      <c r="J1019">
        <v>6.8</v>
      </c>
      <c r="K1019">
        <v>41</v>
      </c>
    </row>
    <row r="1020" spans="1:16" x14ac:dyDescent="0.3">
      <c r="A1020">
        <v>2023</v>
      </c>
      <c r="B1020">
        <v>242</v>
      </c>
      <c r="C1020">
        <v>4</v>
      </c>
      <c r="D1020" s="1">
        <v>3381</v>
      </c>
      <c r="E1020" s="1" t="s">
        <v>16</v>
      </c>
      <c r="F1020">
        <v>93</v>
      </c>
      <c r="G1020">
        <v>1</v>
      </c>
      <c r="J1020">
        <v>19.2</v>
      </c>
      <c r="K1020">
        <v>93</v>
      </c>
    </row>
    <row r="1021" spans="1:16" x14ac:dyDescent="0.3">
      <c r="A1021">
        <v>2023</v>
      </c>
      <c r="B1021">
        <v>242</v>
      </c>
      <c r="C1021">
        <v>5</v>
      </c>
      <c r="D1021" s="1">
        <v>3382</v>
      </c>
      <c r="E1021" s="1" t="s">
        <v>24</v>
      </c>
      <c r="F1021">
        <v>17</v>
      </c>
      <c r="G1021">
        <v>0</v>
      </c>
      <c r="H1021" t="s">
        <v>89</v>
      </c>
    </row>
    <row r="1022" spans="1:16" x14ac:dyDescent="0.3">
      <c r="A1022">
        <v>2023</v>
      </c>
      <c r="B1022">
        <v>242</v>
      </c>
      <c r="C1022">
        <v>6</v>
      </c>
      <c r="D1022" s="1">
        <v>3383</v>
      </c>
      <c r="E1022" s="1" t="s">
        <v>16</v>
      </c>
      <c r="F1022">
        <v>202</v>
      </c>
      <c r="G1022">
        <v>1</v>
      </c>
      <c r="J1022">
        <v>12.8</v>
      </c>
      <c r="K1022">
        <v>65</v>
      </c>
    </row>
    <row r="1023" spans="1:16" x14ac:dyDescent="0.3">
      <c r="A1023">
        <v>2023</v>
      </c>
      <c r="B1023">
        <v>242</v>
      </c>
      <c r="C1023">
        <v>7</v>
      </c>
      <c r="D1023" s="1">
        <v>3384</v>
      </c>
      <c r="E1023" s="1" t="s">
        <v>16</v>
      </c>
      <c r="F1023">
        <v>93</v>
      </c>
      <c r="G1023">
        <v>1</v>
      </c>
      <c r="J1023">
        <v>6.2</v>
      </c>
      <c r="K1023">
        <v>45</v>
      </c>
    </row>
    <row r="1024" spans="1:16" x14ac:dyDescent="0.3">
      <c r="A1024">
        <v>2023</v>
      </c>
      <c r="B1024">
        <v>242</v>
      </c>
      <c r="C1024">
        <v>8</v>
      </c>
      <c r="D1024" s="1">
        <v>3385</v>
      </c>
      <c r="E1024" s="1" t="s">
        <v>16</v>
      </c>
      <c r="F1024">
        <v>108</v>
      </c>
      <c r="G1024">
        <v>1</v>
      </c>
      <c r="J1024">
        <v>7.5</v>
      </c>
      <c r="K1024">
        <v>65</v>
      </c>
    </row>
    <row r="1025" spans="1:16" x14ac:dyDescent="0.3">
      <c r="A1025">
        <v>2023</v>
      </c>
      <c r="B1025">
        <v>242</v>
      </c>
      <c r="C1025">
        <v>9</v>
      </c>
      <c r="D1025" s="1">
        <v>3386</v>
      </c>
      <c r="E1025" s="1" t="s">
        <v>34</v>
      </c>
      <c r="F1025">
        <v>17</v>
      </c>
      <c r="G1025">
        <v>2</v>
      </c>
      <c r="I1025">
        <v>1</v>
      </c>
      <c r="J1025">
        <v>7.3</v>
      </c>
      <c r="K1025">
        <v>50</v>
      </c>
      <c r="L1025">
        <v>46</v>
      </c>
      <c r="M1025" s="1">
        <v>27</v>
      </c>
      <c r="N1025" s="1">
        <v>1</v>
      </c>
    </row>
    <row r="1026" spans="1:16" x14ac:dyDescent="0.3">
      <c r="A1026">
        <v>2023</v>
      </c>
      <c r="B1026">
        <v>242</v>
      </c>
      <c r="C1026">
        <v>10</v>
      </c>
      <c r="D1026" s="1">
        <v>3387</v>
      </c>
      <c r="E1026" s="1" t="s">
        <v>24</v>
      </c>
      <c r="F1026">
        <v>17</v>
      </c>
      <c r="G1026">
        <v>0</v>
      </c>
      <c r="H1026" t="s">
        <v>89</v>
      </c>
    </row>
    <row r="1027" spans="1:16" x14ac:dyDescent="0.3">
      <c r="A1027">
        <v>2023</v>
      </c>
      <c r="B1027">
        <v>242</v>
      </c>
      <c r="C1027">
        <v>11</v>
      </c>
      <c r="D1027" s="1">
        <v>3388</v>
      </c>
      <c r="E1027" s="1" t="s">
        <v>16</v>
      </c>
      <c r="F1027">
        <v>93</v>
      </c>
      <c r="G1027">
        <v>1</v>
      </c>
      <c r="J1027">
        <v>12.8</v>
      </c>
      <c r="K1027">
        <v>85</v>
      </c>
    </row>
    <row r="1028" spans="1:16" x14ac:dyDescent="0.3">
      <c r="A1028">
        <v>2023</v>
      </c>
      <c r="B1028">
        <v>242</v>
      </c>
      <c r="C1028">
        <v>12</v>
      </c>
      <c r="D1028" s="1">
        <v>3389</v>
      </c>
      <c r="E1028" s="1" t="s">
        <v>16</v>
      </c>
      <c r="F1028">
        <v>93</v>
      </c>
      <c r="G1028">
        <v>1</v>
      </c>
      <c r="J1028">
        <v>8.6</v>
      </c>
      <c r="K1028">
        <v>50</v>
      </c>
    </row>
    <row r="1029" spans="1:16" x14ac:dyDescent="0.3">
      <c r="A1029">
        <v>2023</v>
      </c>
      <c r="B1029">
        <v>242</v>
      </c>
      <c r="C1029">
        <v>13</v>
      </c>
      <c r="D1029" s="1">
        <v>3390</v>
      </c>
      <c r="E1029" s="1" t="s">
        <v>24</v>
      </c>
      <c r="F1029">
        <v>17</v>
      </c>
      <c r="G1029">
        <v>0</v>
      </c>
      <c r="H1029" t="s">
        <v>89</v>
      </c>
    </row>
    <row r="1030" spans="1:16" x14ac:dyDescent="0.3">
      <c r="A1030">
        <v>2023</v>
      </c>
      <c r="B1030">
        <v>242</v>
      </c>
      <c r="C1030">
        <v>14</v>
      </c>
      <c r="D1030" s="1">
        <v>3391</v>
      </c>
      <c r="E1030" s="1" t="s">
        <v>16</v>
      </c>
      <c r="F1030">
        <v>93</v>
      </c>
      <c r="G1030">
        <v>1</v>
      </c>
      <c r="J1030">
        <v>14.2</v>
      </c>
      <c r="K1030">
        <v>91</v>
      </c>
    </row>
    <row r="1031" spans="1:16" x14ac:dyDescent="0.3">
      <c r="A1031">
        <v>2023</v>
      </c>
      <c r="B1031">
        <v>242</v>
      </c>
      <c r="C1031">
        <v>15</v>
      </c>
      <c r="D1031" s="1">
        <v>3392</v>
      </c>
      <c r="E1031" s="1" t="s">
        <v>16</v>
      </c>
      <c r="F1031">
        <v>93</v>
      </c>
      <c r="G1031">
        <v>1</v>
      </c>
      <c r="J1031">
        <v>12.2</v>
      </c>
      <c r="K1031">
        <v>78</v>
      </c>
    </row>
    <row r="1032" spans="1:16" x14ac:dyDescent="0.3">
      <c r="A1032">
        <v>2023</v>
      </c>
      <c r="B1032">
        <v>242</v>
      </c>
      <c r="C1032">
        <v>16</v>
      </c>
      <c r="D1032" s="1">
        <v>3393</v>
      </c>
      <c r="E1032" s="1" t="s">
        <v>16</v>
      </c>
      <c r="F1032">
        <v>202</v>
      </c>
      <c r="G1032">
        <v>1</v>
      </c>
      <c r="J1032">
        <v>17.3</v>
      </c>
      <c r="K1032">
        <v>80</v>
      </c>
    </row>
    <row r="1033" spans="1:16" x14ac:dyDescent="0.3">
      <c r="A1033">
        <v>2023</v>
      </c>
      <c r="B1033">
        <v>242</v>
      </c>
      <c r="C1033">
        <v>17</v>
      </c>
      <c r="D1033" s="1">
        <v>3394</v>
      </c>
      <c r="E1033" s="1" t="s">
        <v>34</v>
      </c>
      <c r="F1033">
        <v>108</v>
      </c>
      <c r="G1033">
        <v>2</v>
      </c>
      <c r="I1033">
        <v>2</v>
      </c>
      <c r="J1033">
        <v>8.6</v>
      </c>
      <c r="K1033">
        <v>66</v>
      </c>
    </row>
    <row r="1034" spans="1:16" x14ac:dyDescent="0.3">
      <c r="A1034">
        <v>2023</v>
      </c>
      <c r="B1034">
        <v>242</v>
      </c>
      <c r="C1034">
        <v>18</v>
      </c>
      <c r="D1034" s="1">
        <v>3395</v>
      </c>
      <c r="E1034" s="1" t="s">
        <v>34</v>
      </c>
      <c r="F1034">
        <v>108</v>
      </c>
      <c r="G1034">
        <v>2</v>
      </c>
      <c r="I1034">
        <v>2</v>
      </c>
      <c r="J1034">
        <v>6.6</v>
      </c>
      <c r="K1034">
        <v>47</v>
      </c>
      <c r="P1034" t="s">
        <v>123</v>
      </c>
    </row>
    <row r="1035" spans="1:16" x14ac:dyDescent="0.3">
      <c r="A1035">
        <v>2023</v>
      </c>
      <c r="B1035">
        <v>242</v>
      </c>
      <c r="C1035">
        <v>19</v>
      </c>
      <c r="D1035" s="1">
        <v>3396</v>
      </c>
      <c r="E1035" s="1" t="s">
        <v>16</v>
      </c>
      <c r="F1035">
        <v>202</v>
      </c>
      <c r="G1035">
        <v>1</v>
      </c>
      <c r="J1035">
        <v>14</v>
      </c>
      <c r="K1035">
        <v>58</v>
      </c>
    </row>
    <row r="1036" spans="1:16" x14ac:dyDescent="0.3">
      <c r="A1036">
        <v>2023</v>
      </c>
      <c r="B1036">
        <v>242</v>
      </c>
      <c r="C1036">
        <v>20</v>
      </c>
      <c r="D1036" s="1">
        <v>3397</v>
      </c>
      <c r="E1036" s="1" t="s">
        <v>16</v>
      </c>
      <c r="F1036">
        <v>93</v>
      </c>
      <c r="G1036">
        <v>1</v>
      </c>
      <c r="J1036">
        <v>2.1</v>
      </c>
    </row>
    <row r="1037" spans="1:16" x14ac:dyDescent="0.3">
      <c r="A1037">
        <v>2023</v>
      </c>
      <c r="B1037">
        <v>242</v>
      </c>
      <c r="C1037">
        <v>21</v>
      </c>
      <c r="D1037" s="1">
        <v>3398</v>
      </c>
      <c r="E1037" s="1" t="s">
        <v>16</v>
      </c>
      <c r="F1037">
        <v>93</v>
      </c>
      <c r="G1037">
        <v>1</v>
      </c>
      <c r="J1037">
        <v>1.7</v>
      </c>
    </row>
    <row r="1038" spans="1:16" x14ac:dyDescent="0.3">
      <c r="A1038">
        <v>2023</v>
      </c>
      <c r="B1038">
        <v>242</v>
      </c>
      <c r="C1038">
        <v>22</v>
      </c>
      <c r="D1038" s="1">
        <v>3399</v>
      </c>
      <c r="E1038" s="1" t="s">
        <v>16</v>
      </c>
      <c r="F1038">
        <v>17</v>
      </c>
      <c r="G1038">
        <v>1</v>
      </c>
      <c r="J1038">
        <v>2.5</v>
      </c>
    </row>
    <row r="1039" spans="1:16" x14ac:dyDescent="0.3">
      <c r="A1039">
        <v>2023</v>
      </c>
      <c r="B1039">
        <v>242</v>
      </c>
      <c r="C1039">
        <v>23</v>
      </c>
      <c r="D1039" s="1">
        <v>3400</v>
      </c>
      <c r="E1039" s="1" t="s">
        <v>16</v>
      </c>
      <c r="F1039">
        <v>17</v>
      </c>
      <c r="G1039">
        <v>1</v>
      </c>
      <c r="J1039">
        <v>2.4</v>
      </c>
    </row>
    <row r="1040" spans="1:16" x14ac:dyDescent="0.3">
      <c r="A1040">
        <v>2023</v>
      </c>
      <c r="B1040">
        <v>242</v>
      </c>
      <c r="C1040">
        <v>24</v>
      </c>
      <c r="D1040" s="1">
        <v>3401</v>
      </c>
      <c r="E1040" s="1" t="s">
        <v>16</v>
      </c>
      <c r="F1040">
        <v>93</v>
      </c>
      <c r="G1040">
        <v>1</v>
      </c>
      <c r="J1040">
        <v>1.3</v>
      </c>
    </row>
    <row r="1041" spans="1:16" x14ac:dyDescent="0.3">
      <c r="A1041">
        <v>2023</v>
      </c>
      <c r="B1041">
        <v>242</v>
      </c>
      <c r="C1041">
        <v>25</v>
      </c>
      <c r="D1041" s="1">
        <v>3402</v>
      </c>
      <c r="E1041" s="1" t="s">
        <v>16</v>
      </c>
      <c r="F1041">
        <v>17</v>
      </c>
      <c r="G1041">
        <v>1</v>
      </c>
      <c r="J1041">
        <v>1.9</v>
      </c>
    </row>
    <row r="1042" spans="1:16" x14ac:dyDescent="0.3">
      <c r="A1042">
        <v>2023</v>
      </c>
      <c r="B1042">
        <v>242</v>
      </c>
      <c r="C1042">
        <v>26</v>
      </c>
      <c r="D1042" s="1">
        <v>3403</v>
      </c>
      <c r="E1042" s="1" t="s">
        <v>16</v>
      </c>
      <c r="F1042">
        <v>93</v>
      </c>
      <c r="G1042">
        <v>1</v>
      </c>
      <c r="J1042">
        <v>2.2000000000000002</v>
      </c>
    </row>
    <row r="1043" spans="1:16" x14ac:dyDescent="0.3">
      <c r="A1043">
        <v>2023</v>
      </c>
      <c r="B1043">
        <v>242</v>
      </c>
      <c r="C1043">
        <v>27</v>
      </c>
      <c r="D1043" s="1">
        <v>3404</v>
      </c>
      <c r="E1043" s="1" t="s">
        <v>16</v>
      </c>
      <c r="F1043">
        <v>17</v>
      </c>
      <c r="G1043">
        <v>1</v>
      </c>
      <c r="J1043">
        <v>1.3</v>
      </c>
    </row>
    <row r="1044" spans="1:16" x14ac:dyDescent="0.3">
      <c r="A1044">
        <v>2023</v>
      </c>
      <c r="B1044">
        <v>242</v>
      </c>
      <c r="C1044">
        <v>28</v>
      </c>
      <c r="D1044" s="1">
        <v>3405</v>
      </c>
      <c r="E1044" s="1" t="s">
        <v>16</v>
      </c>
      <c r="F1044">
        <v>93</v>
      </c>
      <c r="G1044">
        <v>1</v>
      </c>
      <c r="J1044">
        <v>2</v>
      </c>
    </row>
    <row r="1045" spans="1:16" x14ac:dyDescent="0.3">
      <c r="A1045">
        <v>2023</v>
      </c>
      <c r="B1045">
        <v>242</v>
      </c>
      <c r="C1045">
        <v>29</v>
      </c>
      <c r="D1045" s="1">
        <v>3406</v>
      </c>
      <c r="E1045" s="1" t="s">
        <v>16</v>
      </c>
      <c r="F1045">
        <v>93</v>
      </c>
      <c r="G1045">
        <v>1</v>
      </c>
      <c r="J1045">
        <v>1.5</v>
      </c>
    </row>
    <row r="1046" spans="1:16" x14ac:dyDescent="0.3">
      <c r="A1046">
        <v>2023</v>
      </c>
      <c r="B1046">
        <v>242</v>
      </c>
      <c r="C1046">
        <v>30</v>
      </c>
      <c r="D1046" s="1">
        <v>3407</v>
      </c>
      <c r="E1046" s="1" t="s">
        <v>16</v>
      </c>
      <c r="F1046">
        <v>17</v>
      </c>
      <c r="G1046">
        <v>1</v>
      </c>
      <c r="J1046">
        <v>4</v>
      </c>
    </row>
    <row r="1047" spans="1:16" x14ac:dyDescent="0.3">
      <c r="A1047">
        <v>2023</v>
      </c>
      <c r="B1047">
        <v>242</v>
      </c>
      <c r="C1047">
        <v>31</v>
      </c>
      <c r="D1047" s="1">
        <v>4620</v>
      </c>
      <c r="E1047" s="1" t="s">
        <v>97</v>
      </c>
      <c r="F1047">
        <v>202</v>
      </c>
      <c r="G1047">
        <v>1</v>
      </c>
      <c r="H1047" t="s">
        <v>98</v>
      </c>
      <c r="J1047">
        <v>5.5</v>
      </c>
      <c r="K1047">
        <v>30</v>
      </c>
    </row>
    <row r="1048" spans="1:16" x14ac:dyDescent="0.3">
      <c r="A1048">
        <v>2023</v>
      </c>
      <c r="B1048">
        <v>242</v>
      </c>
      <c r="C1048">
        <v>32</v>
      </c>
      <c r="D1048" s="1">
        <v>4621</v>
      </c>
      <c r="E1048" s="1" t="s">
        <v>97</v>
      </c>
      <c r="F1048">
        <v>93</v>
      </c>
      <c r="G1048">
        <v>1</v>
      </c>
      <c r="H1048" t="s">
        <v>98</v>
      </c>
      <c r="J1048">
        <v>1.3</v>
      </c>
    </row>
    <row r="1049" spans="1:16" x14ac:dyDescent="0.3">
      <c r="A1049">
        <v>2023</v>
      </c>
      <c r="B1049">
        <v>242</v>
      </c>
      <c r="C1049">
        <v>33</v>
      </c>
      <c r="D1049" s="1">
        <v>4622</v>
      </c>
      <c r="E1049" s="1" t="s">
        <v>97</v>
      </c>
      <c r="F1049">
        <v>93</v>
      </c>
      <c r="G1049">
        <v>1</v>
      </c>
      <c r="H1049" t="s">
        <v>98</v>
      </c>
      <c r="J1049">
        <v>1.3</v>
      </c>
    </row>
    <row r="1050" spans="1:16" x14ac:dyDescent="0.3">
      <c r="A1050">
        <v>2023</v>
      </c>
      <c r="B1050">
        <v>243</v>
      </c>
      <c r="C1050">
        <v>1</v>
      </c>
      <c r="D1050" s="1">
        <v>3408</v>
      </c>
      <c r="E1050" s="1" t="s">
        <v>16</v>
      </c>
      <c r="F1050">
        <v>93</v>
      </c>
      <c r="G1050">
        <v>1</v>
      </c>
      <c r="J1050">
        <v>12.4</v>
      </c>
      <c r="K1050">
        <v>81</v>
      </c>
    </row>
    <row r="1051" spans="1:16" x14ac:dyDescent="0.3">
      <c r="A1051">
        <v>2023</v>
      </c>
      <c r="B1051">
        <v>243</v>
      </c>
      <c r="C1051">
        <v>2</v>
      </c>
      <c r="D1051" s="1">
        <v>3409</v>
      </c>
      <c r="E1051" s="1" t="s">
        <v>16</v>
      </c>
      <c r="F1051">
        <v>93</v>
      </c>
      <c r="G1051">
        <v>1</v>
      </c>
      <c r="J1051">
        <v>10.4</v>
      </c>
      <c r="K1051">
        <v>66</v>
      </c>
    </row>
    <row r="1052" spans="1:16" x14ac:dyDescent="0.3">
      <c r="A1052">
        <v>2023</v>
      </c>
      <c r="B1052">
        <v>243</v>
      </c>
      <c r="C1052">
        <v>3</v>
      </c>
      <c r="D1052" s="1">
        <v>3410</v>
      </c>
      <c r="E1052" s="1" t="s">
        <v>34</v>
      </c>
      <c r="F1052">
        <v>17</v>
      </c>
      <c r="G1052">
        <v>2</v>
      </c>
      <c r="I1052">
        <v>3</v>
      </c>
      <c r="J1052">
        <v>9.9</v>
      </c>
      <c r="K1052">
        <v>71</v>
      </c>
      <c r="L1052">
        <v>15</v>
      </c>
      <c r="M1052" s="1">
        <v>57</v>
      </c>
      <c r="N1052" s="1">
        <v>9</v>
      </c>
      <c r="P1052" t="s">
        <v>124</v>
      </c>
    </row>
    <row r="1053" spans="1:16" x14ac:dyDescent="0.3">
      <c r="A1053">
        <v>2023</v>
      </c>
      <c r="B1053">
        <v>243</v>
      </c>
      <c r="C1053">
        <v>4</v>
      </c>
      <c r="D1053" s="1">
        <v>3411</v>
      </c>
      <c r="E1053" s="1" t="s">
        <v>25</v>
      </c>
      <c r="F1053">
        <v>93</v>
      </c>
      <c r="G1053">
        <v>2</v>
      </c>
      <c r="I1053">
        <v>1</v>
      </c>
      <c r="J1053">
        <v>6.7</v>
      </c>
      <c r="K1053">
        <v>50</v>
      </c>
    </row>
    <row r="1054" spans="1:16" x14ac:dyDescent="0.3">
      <c r="A1054">
        <v>2023</v>
      </c>
      <c r="B1054">
        <v>243</v>
      </c>
      <c r="C1054">
        <v>5</v>
      </c>
      <c r="D1054" s="1">
        <v>3412</v>
      </c>
      <c r="E1054" s="1" t="s">
        <v>16</v>
      </c>
      <c r="F1054">
        <v>202</v>
      </c>
      <c r="G1054">
        <v>1</v>
      </c>
      <c r="J1054">
        <v>11.5</v>
      </c>
      <c r="K1054">
        <v>69</v>
      </c>
    </row>
    <row r="1055" spans="1:16" x14ac:dyDescent="0.3">
      <c r="A1055">
        <v>2023</v>
      </c>
      <c r="B1055">
        <v>243</v>
      </c>
      <c r="C1055">
        <v>6</v>
      </c>
      <c r="D1055" s="1">
        <v>3413</v>
      </c>
      <c r="E1055" s="1" t="s">
        <v>16</v>
      </c>
      <c r="F1055">
        <v>202</v>
      </c>
      <c r="G1055">
        <v>1</v>
      </c>
      <c r="J1055">
        <v>17.600000000000001</v>
      </c>
      <c r="K1055">
        <v>87</v>
      </c>
    </row>
    <row r="1056" spans="1:16" x14ac:dyDescent="0.3">
      <c r="A1056">
        <v>2023</v>
      </c>
      <c r="B1056">
        <v>243</v>
      </c>
      <c r="C1056">
        <v>7</v>
      </c>
      <c r="D1056" s="1">
        <v>3414</v>
      </c>
      <c r="E1056" s="1" t="s">
        <v>16</v>
      </c>
      <c r="F1056">
        <v>17</v>
      </c>
      <c r="G1056">
        <v>1</v>
      </c>
      <c r="J1056">
        <v>12.5</v>
      </c>
      <c r="K1056">
        <v>73</v>
      </c>
      <c r="P1056" t="s">
        <v>124</v>
      </c>
    </row>
    <row r="1057" spans="1:16" x14ac:dyDescent="0.3">
      <c r="A1057">
        <v>2023</v>
      </c>
      <c r="B1057">
        <v>243</v>
      </c>
      <c r="C1057">
        <v>8</v>
      </c>
      <c r="D1057" s="1">
        <v>3415</v>
      </c>
      <c r="E1057" s="1" t="s">
        <v>16</v>
      </c>
      <c r="F1057">
        <v>202</v>
      </c>
      <c r="G1057">
        <v>1</v>
      </c>
      <c r="J1057">
        <v>10.6</v>
      </c>
      <c r="K1057">
        <v>52</v>
      </c>
    </row>
    <row r="1058" spans="1:16" x14ac:dyDescent="0.3">
      <c r="A1058">
        <v>2023</v>
      </c>
      <c r="B1058">
        <v>243</v>
      </c>
      <c r="C1058">
        <v>9</v>
      </c>
      <c r="D1058" s="1">
        <v>3416</v>
      </c>
      <c r="E1058" s="1" t="s">
        <v>16</v>
      </c>
      <c r="F1058">
        <v>17</v>
      </c>
      <c r="G1058">
        <v>1</v>
      </c>
      <c r="J1058">
        <v>10.5</v>
      </c>
      <c r="K1058">
        <v>68</v>
      </c>
      <c r="O1058">
        <v>1</v>
      </c>
      <c r="P1058" t="s">
        <v>124</v>
      </c>
    </row>
    <row r="1059" spans="1:16" x14ac:dyDescent="0.3">
      <c r="A1059">
        <v>2023</v>
      </c>
      <c r="B1059">
        <v>243</v>
      </c>
      <c r="C1059">
        <v>10</v>
      </c>
      <c r="D1059" s="1">
        <v>3417</v>
      </c>
      <c r="E1059" s="1" t="s">
        <v>16</v>
      </c>
      <c r="F1059">
        <v>93</v>
      </c>
      <c r="G1059">
        <v>1</v>
      </c>
      <c r="J1059">
        <v>15.2</v>
      </c>
      <c r="K1059">
        <v>78</v>
      </c>
    </row>
    <row r="1060" spans="1:16" x14ac:dyDescent="0.3">
      <c r="A1060">
        <v>2023</v>
      </c>
      <c r="B1060">
        <v>243</v>
      </c>
      <c r="C1060">
        <v>11</v>
      </c>
      <c r="D1060" s="1">
        <v>3418</v>
      </c>
      <c r="E1060" s="1" t="s">
        <v>16</v>
      </c>
      <c r="F1060">
        <v>202</v>
      </c>
      <c r="G1060">
        <v>1</v>
      </c>
      <c r="J1060">
        <v>11.6</v>
      </c>
      <c r="K1060">
        <v>66</v>
      </c>
    </row>
    <row r="1061" spans="1:16" x14ac:dyDescent="0.3">
      <c r="A1061">
        <v>2023</v>
      </c>
      <c r="B1061">
        <v>243</v>
      </c>
      <c r="C1061">
        <v>12</v>
      </c>
      <c r="D1061" s="1">
        <v>3419</v>
      </c>
      <c r="E1061" s="1" t="s">
        <v>16</v>
      </c>
      <c r="F1061">
        <v>202</v>
      </c>
      <c r="G1061">
        <v>1</v>
      </c>
      <c r="J1061">
        <v>15.6</v>
      </c>
      <c r="K1061">
        <v>82</v>
      </c>
    </row>
    <row r="1062" spans="1:16" x14ac:dyDescent="0.3">
      <c r="A1062">
        <v>2023</v>
      </c>
      <c r="B1062">
        <v>243</v>
      </c>
      <c r="C1062">
        <v>13</v>
      </c>
      <c r="D1062" s="1">
        <v>3420</v>
      </c>
      <c r="E1062" s="1" t="s">
        <v>16</v>
      </c>
      <c r="F1062">
        <v>202</v>
      </c>
      <c r="G1062">
        <v>1</v>
      </c>
      <c r="J1062">
        <v>5.4</v>
      </c>
      <c r="K1062">
        <v>23</v>
      </c>
    </row>
    <row r="1063" spans="1:16" x14ac:dyDescent="0.3">
      <c r="A1063">
        <v>2023</v>
      </c>
      <c r="B1063">
        <v>243</v>
      </c>
      <c r="C1063">
        <v>14</v>
      </c>
      <c r="D1063" s="1">
        <v>3421</v>
      </c>
      <c r="E1063" s="1" t="s">
        <v>19</v>
      </c>
      <c r="F1063">
        <v>202</v>
      </c>
      <c r="G1063">
        <v>0</v>
      </c>
      <c r="H1063" t="s">
        <v>89</v>
      </c>
    </row>
    <row r="1064" spans="1:16" x14ac:dyDescent="0.3">
      <c r="A1064">
        <v>2023</v>
      </c>
      <c r="B1064">
        <v>243</v>
      </c>
      <c r="C1064">
        <v>15</v>
      </c>
      <c r="D1064" s="1">
        <v>3422</v>
      </c>
      <c r="E1064" s="1" t="s">
        <v>16</v>
      </c>
      <c r="F1064">
        <v>202</v>
      </c>
      <c r="G1064">
        <v>1</v>
      </c>
      <c r="J1064">
        <v>1.1000000000000001</v>
      </c>
    </row>
    <row r="1065" spans="1:16" x14ac:dyDescent="0.3">
      <c r="A1065">
        <v>2023</v>
      </c>
      <c r="B1065">
        <v>243</v>
      </c>
      <c r="C1065">
        <v>16</v>
      </c>
      <c r="D1065" s="1">
        <v>3423</v>
      </c>
      <c r="E1065" s="1" t="s">
        <v>16</v>
      </c>
      <c r="F1065">
        <v>202</v>
      </c>
      <c r="G1065">
        <v>1</v>
      </c>
      <c r="J1065">
        <v>1.7</v>
      </c>
    </row>
    <row r="1066" spans="1:16" x14ac:dyDescent="0.3">
      <c r="A1066">
        <v>2023</v>
      </c>
      <c r="B1066">
        <v>251</v>
      </c>
      <c r="C1066">
        <v>1</v>
      </c>
      <c r="D1066" s="1">
        <v>3527</v>
      </c>
      <c r="E1066" s="1" t="s">
        <v>16</v>
      </c>
      <c r="F1066">
        <v>93</v>
      </c>
      <c r="G1066">
        <v>1</v>
      </c>
      <c r="J1066">
        <v>9.5</v>
      </c>
      <c r="K1066">
        <v>57</v>
      </c>
    </row>
    <row r="1067" spans="1:16" x14ac:dyDescent="0.3">
      <c r="A1067">
        <v>2023</v>
      </c>
      <c r="B1067">
        <v>251</v>
      </c>
      <c r="C1067">
        <v>2</v>
      </c>
      <c r="D1067" s="1">
        <v>3528</v>
      </c>
      <c r="E1067" s="1" t="s">
        <v>16</v>
      </c>
      <c r="F1067">
        <v>202</v>
      </c>
      <c r="G1067">
        <v>1</v>
      </c>
      <c r="J1067">
        <v>7.1</v>
      </c>
      <c r="K1067">
        <v>48</v>
      </c>
    </row>
    <row r="1068" spans="1:16" x14ac:dyDescent="0.3">
      <c r="A1068">
        <v>2023</v>
      </c>
      <c r="B1068">
        <v>251</v>
      </c>
      <c r="C1068">
        <v>3</v>
      </c>
      <c r="D1068" s="1">
        <v>3529</v>
      </c>
      <c r="E1068" s="1" t="s">
        <v>16</v>
      </c>
      <c r="F1068">
        <v>202</v>
      </c>
      <c r="G1068">
        <v>1</v>
      </c>
      <c r="J1068">
        <v>9.4</v>
      </c>
      <c r="K1068">
        <v>54</v>
      </c>
    </row>
    <row r="1069" spans="1:16" x14ac:dyDescent="0.3">
      <c r="A1069">
        <v>2023</v>
      </c>
      <c r="B1069">
        <v>251</v>
      </c>
      <c r="C1069">
        <v>4</v>
      </c>
      <c r="D1069" s="1">
        <v>3530</v>
      </c>
      <c r="E1069" s="1" t="s">
        <v>16</v>
      </c>
      <c r="F1069">
        <v>202</v>
      </c>
      <c r="G1069">
        <v>1</v>
      </c>
      <c r="J1069">
        <v>8.3000000000000007</v>
      </c>
      <c r="K1069">
        <v>54</v>
      </c>
    </row>
    <row r="1070" spans="1:16" x14ac:dyDescent="0.3">
      <c r="A1070">
        <v>2023</v>
      </c>
      <c r="B1070">
        <v>251</v>
      </c>
      <c r="C1070">
        <v>5</v>
      </c>
      <c r="D1070" s="1">
        <v>3531</v>
      </c>
      <c r="E1070" s="1" t="s">
        <v>16</v>
      </c>
      <c r="F1070">
        <v>202</v>
      </c>
      <c r="G1070">
        <v>1</v>
      </c>
      <c r="J1070">
        <v>6.7</v>
      </c>
      <c r="K1070">
        <v>37</v>
      </c>
    </row>
    <row r="1071" spans="1:16" x14ac:dyDescent="0.3">
      <c r="A1071">
        <v>2023</v>
      </c>
      <c r="B1071">
        <v>251</v>
      </c>
      <c r="C1071">
        <v>6</v>
      </c>
      <c r="D1071" s="1">
        <v>3532</v>
      </c>
      <c r="E1071" s="1" t="s">
        <v>16</v>
      </c>
      <c r="F1071">
        <v>93</v>
      </c>
      <c r="G1071">
        <v>1</v>
      </c>
      <c r="J1071">
        <v>6.1</v>
      </c>
      <c r="K1071">
        <v>39</v>
      </c>
    </row>
    <row r="1072" spans="1:16" x14ac:dyDescent="0.3">
      <c r="A1072">
        <v>2023</v>
      </c>
      <c r="B1072">
        <v>251</v>
      </c>
      <c r="C1072">
        <v>7</v>
      </c>
      <c r="D1072" s="1">
        <v>3533</v>
      </c>
      <c r="E1072" s="1" t="s">
        <v>25</v>
      </c>
      <c r="F1072">
        <v>17</v>
      </c>
      <c r="G1072">
        <v>2</v>
      </c>
      <c r="I1072">
        <v>1</v>
      </c>
      <c r="J1072">
        <v>5.3</v>
      </c>
      <c r="K1072">
        <v>49</v>
      </c>
    </row>
    <row r="1073" spans="1:16" x14ac:dyDescent="0.3">
      <c r="A1073">
        <v>2023</v>
      </c>
      <c r="B1073">
        <v>251</v>
      </c>
      <c r="C1073">
        <v>8</v>
      </c>
      <c r="D1073" s="1">
        <v>3534</v>
      </c>
      <c r="E1073" s="1" t="s">
        <v>16</v>
      </c>
      <c r="F1073">
        <v>202</v>
      </c>
      <c r="G1073">
        <v>1</v>
      </c>
      <c r="J1073">
        <v>12.8</v>
      </c>
      <c r="K1073">
        <v>75</v>
      </c>
    </row>
    <row r="1074" spans="1:16" x14ac:dyDescent="0.3">
      <c r="A1074">
        <v>2023</v>
      </c>
      <c r="B1074">
        <v>251</v>
      </c>
      <c r="C1074">
        <v>9</v>
      </c>
      <c r="D1074" s="1">
        <v>3535</v>
      </c>
      <c r="E1074" s="1" t="s">
        <v>16</v>
      </c>
      <c r="F1074">
        <v>93</v>
      </c>
      <c r="G1074">
        <v>1</v>
      </c>
      <c r="J1074">
        <v>11.6</v>
      </c>
      <c r="K1074">
        <v>72</v>
      </c>
    </row>
    <row r="1075" spans="1:16" x14ac:dyDescent="0.3">
      <c r="A1075">
        <v>2023</v>
      </c>
      <c r="B1075">
        <v>251</v>
      </c>
      <c r="C1075">
        <v>10</v>
      </c>
      <c r="D1075" s="1">
        <v>3536</v>
      </c>
      <c r="E1075" s="1" t="s">
        <v>16</v>
      </c>
      <c r="F1075">
        <v>93</v>
      </c>
      <c r="G1075">
        <v>1</v>
      </c>
      <c r="J1075">
        <v>10.6</v>
      </c>
      <c r="K1075">
        <v>76</v>
      </c>
    </row>
    <row r="1076" spans="1:16" x14ac:dyDescent="0.3">
      <c r="A1076">
        <v>2023</v>
      </c>
      <c r="B1076">
        <v>251</v>
      </c>
      <c r="C1076">
        <v>11</v>
      </c>
      <c r="D1076" s="1">
        <v>3537</v>
      </c>
      <c r="E1076" s="1" t="s">
        <v>24</v>
      </c>
      <c r="F1076">
        <v>93</v>
      </c>
      <c r="G1076">
        <v>0</v>
      </c>
      <c r="H1076" t="s">
        <v>89</v>
      </c>
      <c r="P1076" t="s">
        <v>125</v>
      </c>
    </row>
    <row r="1077" spans="1:16" x14ac:dyDescent="0.3">
      <c r="A1077">
        <v>2023</v>
      </c>
      <c r="B1077">
        <v>251</v>
      </c>
      <c r="C1077">
        <v>12</v>
      </c>
      <c r="D1077" s="1">
        <v>3538</v>
      </c>
      <c r="E1077" s="1" t="s">
        <v>25</v>
      </c>
      <c r="F1077">
        <v>93</v>
      </c>
      <c r="G1077">
        <v>2</v>
      </c>
      <c r="I1077">
        <v>2</v>
      </c>
      <c r="J1077">
        <v>5.5</v>
      </c>
      <c r="K1077">
        <v>50</v>
      </c>
      <c r="L1077">
        <v>36</v>
      </c>
      <c r="M1077" s="1">
        <v>26</v>
      </c>
      <c r="N1077" s="1">
        <v>3</v>
      </c>
    </row>
    <row r="1078" spans="1:16" x14ac:dyDescent="0.3">
      <c r="A1078">
        <v>2023</v>
      </c>
      <c r="B1078">
        <v>251</v>
      </c>
      <c r="C1078">
        <v>13</v>
      </c>
      <c r="D1078" s="1">
        <v>3539</v>
      </c>
      <c r="E1078" s="1" t="s">
        <v>25</v>
      </c>
      <c r="F1078">
        <v>202</v>
      </c>
      <c r="G1078">
        <v>2</v>
      </c>
      <c r="I1078">
        <v>2</v>
      </c>
      <c r="J1078">
        <v>8.3000000000000007</v>
      </c>
      <c r="K1078">
        <v>54</v>
      </c>
      <c r="L1078">
        <v>32</v>
      </c>
      <c r="M1078" s="1">
        <v>40</v>
      </c>
      <c r="N1078" s="1">
        <v>5</v>
      </c>
    </row>
    <row r="1079" spans="1:16" x14ac:dyDescent="0.3">
      <c r="A1079">
        <v>2023</v>
      </c>
      <c r="B1079">
        <v>251</v>
      </c>
      <c r="C1079">
        <v>14</v>
      </c>
      <c r="D1079" s="1">
        <v>3540</v>
      </c>
      <c r="E1079" s="1" t="s">
        <v>16</v>
      </c>
      <c r="F1079">
        <v>202</v>
      </c>
      <c r="G1079">
        <v>1</v>
      </c>
      <c r="J1079">
        <v>8</v>
      </c>
      <c r="K1079">
        <v>66</v>
      </c>
      <c r="L1079">
        <v>53</v>
      </c>
      <c r="M1079" s="1">
        <v>53</v>
      </c>
      <c r="N1079" s="1">
        <v>4</v>
      </c>
    </row>
    <row r="1080" spans="1:16" x14ac:dyDescent="0.3">
      <c r="A1080">
        <v>2023</v>
      </c>
      <c r="B1080">
        <v>251</v>
      </c>
      <c r="C1080">
        <v>15</v>
      </c>
      <c r="D1080" s="1">
        <v>3541</v>
      </c>
      <c r="E1080" s="1" t="s">
        <v>16</v>
      </c>
      <c r="F1080">
        <v>93</v>
      </c>
      <c r="G1080">
        <v>1</v>
      </c>
      <c r="J1080">
        <v>13.1</v>
      </c>
      <c r="K1080">
        <v>75</v>
      </c>
    </row>
    <row r="1081" spans="1:16" x14ac:dyDescent="0.3">
      <c r="A1081">
        <v>2023</v>
      </c>
      <c r="B1081">
        <v>251</v>
      </c>
      <c r="C1081">
        <v>16</v>
      </c>
      <c r="D1081" s="1">
        <v>3542</v>
      </c>
      <c r="E1081" s="1" t="s">
        <v>34</v>
      </c>
      <c r="F1081">
        <v>17</v>
      </c>
      <c r="G1081">
        <v>2</v>
      </c>
      <c r="I1081">
        <v>1</v>
      </c>
      <c r="J1081">
        <v>8.1999999999999993</v>
      </c>
      <c r="K1081">
        <v>57</v>
      </c>
    </row>
    <row r="1082" spans="1:16" x14ac:dyDescent="0.3">
      <c r="A1082">
        <v>2023</v>
      </c>
      <c r="B1082">
        <v>251</v>
      </c>
      <c r="C1082">
        <v>17</v>
      </c>
      <c r="D1082" s="1">
        <v>3543</v>
      </c>
      <c r="E1082" s="1" t="s">
        <v>16</v>
      </c>
      <c r="F1082">
        <v>17</v>
      </c>
      <c r="G1082">
        <v>1</v>
      </c>
      <c r="J1082">
        <v>10</v>
      </c>
      <c r="K1082">
        <v>69</v>
      </c>
    </row>
    <row r="1083" spans="1:16" x14ac:dyDescent="0.3">
      <c r="A1083">
        <v>2023</v>
      </c>
      <c r="B1083">
        <v>251</v>
      </c>
      <c r="C1083">
        <v>18</v>
      </c>
      <c r="D1083" s="1">
        <v>3544</v>
      </c>
      <c r="E1083" s="1" t="s">
        <v>16</v>
      </c>
      <c r="F1083">
        <v>202</v>
      </c>
      <c r="G1083">
        <v>1</v>
      </c>
      <c r="J1083">
        <v>11</v>
      </c>
      <c r="K1083">
        <v>66</v>
      </c>
    </row>
    <row r="1084" spans="1:16" x14ac:dyDescent="0.3">
      <c r="A1084">
        <v>2023</v>
      </c>
      <c r="B1084">
        <v>251</v>
      </c>
      <c r="C1084">
        <v>19</v>
      </c>
      <c r="D1084" s="1">
        <v>3545</v>
      </c>
      <c r="E1084" s="1" t="s">
        <v>16</v>
      </c>
      <c r="F1084">
        <v>202</v>
      </c>
      <c r="G1084">
        <v>1</v>
      </c>
      <c r="J1084">
        <v>8.4</v>
      </c>
      <c r="K1084">
        <v>57</v>
      </c>
    </row>
    <row r="1085" spans="1:16" x14ac:dyDescent="0.3">
      <c r="A1085">
        <v>2023</v>
      </c>
      <c r="B1085">
        <v>251</v>
      </c>
      <c r="C1085">
        <v>20</v>
      </c>
      <c r="D1085" s="1">
        <v>3546</v>
      </c>
      <c r="E1085" s="1" t="s">
        <v>16</v>
      </c>
      <c r="F1085">
        <v>202</v>
      </c>
      <c r="G1085">
        <v>1</v>
      </c>
      <c r="J1085">
        <v>8.1</v>
      </c>
      <c r="K1085">
        <v>49</v>
      </c>
    </row>
    <row r="1086" spans="1:16" x14ac:dyDescent="0.3">
      <c r="A1086">
        <v>2023</v>
      </c>
      <c r="B1086">
        <v>251</v>
      </c>
      <c r="C1086">
        <v>21</v>
      </c>
      <c r="D1086" s="1">
        <v>3547</v>
      </c>
      <c r="E1086" s="1" t="s">
        <v>25</v>
      </c>
      <c r="F1086">
        <v>202</v>
      </c>
      <c r="G1086">
        <v>2</v>
      </c>
      <c r="I1086">
        <v>1</v>
      </c>
      <c r="J1086">
        <v>17.100000000000001</v>
      </c>
      <c r="K1086">
        <v>83</v>
      </c>
    </row>
    <row r="1087" spans="1:16" x14ac:dyDescent="0.3">
      <c r="A1087">
        <v>2023</v>
      </c>
      <c r="B1087">
        <v>251</v>
      </c>
      <c r="C1087">
        <v>22</v>
      </c>
      <c r="D1087" s="1">
        <v>3548</v>
      </c>
      <c r="E1087" s="1" t="s">
        <v>34</v>
      </c>
      <c r="F1087">
        <v>202</v>
      </c>
      <c r="G1087">
        <v>2</v>
      </c>
      <c r="I1087">
        <v>3</v>
      </c>
      <c r="J1087">
        <v>9.1</v>
      </c>
      <c r="K1087">
        <v>46</v>
      </c>
    </row>
    <row r="1088" spans="1:16" x14ac:dyDescent="0.3">
      <c r="A1088">
        <v>2023</v>
      </c>
      <c r="B1088">
        <v>251</v>
      </c>
      <c r="C1088">
        <v>23</v>
      </c>
      <c r="D1088" s="1">
        <v>3549</v>
      </c>
      <c r="E1088" s="1" t="s">
        <v>19</v>
      </c>
      <c r="F1088">
        <v>202</v>
      </c>
      <c r="G1088">
        <v>0</v>
      </c>
      <c r="H1088" t="s">
        <v>89</v>
      </c>
      <c r="P1088" t="s">
        <v>126</v>
      </c>
    </row>
    <row r="1089" spans="1:11" x14ac:dyDescent="0.3">
      <c r="A1089">
        <v>2023</v>
      </c>
      <c r="B1089">
        <v>251</v>
      </c>
      <c r="C1089">
        <v>24</v>
      </c>
      <c r="D1089" s="1">
        <v>3550</v>
      </c>
      <c r="E1089" s="1" t="s">
        <v>16</v>
      </c>
      <c r="F1089">
        <v>202</v>
      </c>
      <c r="G1089">
        <v>1</v>
      </c>
      <c r="J1089">
        <v>18.600000000000001</v>
      </c>
      <c r="K1089">
        <v>78</v>
      </c>
    </row>
    <row r="1090" spans="1:11" x14ac:dyDescent="0.3">
      <c r="A1090">
        <v>2023</v>
      </c>
      <c r="B1090">
        <v>251</v>
      </c>
      <c r="C1090">
        <v>25</v>
      </c>
      <c r="D1090" s="1">
        <v>3551</v>
      </c>
      <c r="E1090" s="1" t="s">
        <v>16</v>
      </c>
      <c r="F1090">
        <v>93</v>
      </c>
      <c r="G1090">
        <v>1</v>
      </c>
      <c r="J1090">
        <v>7.5</v>
      </c>
      <c r="K1090">
        <v>38</v>
      </c>
    </row>
    <row r="1091" spans="1:11" x14ac:dyDescent="0.3">
      <c r="A1091">
        <v>2023</v>
      </c>
      <c r="B1091">
        <v>251</v>
      </c>
      <c r="C1091">
        <v>26</v>
      </c>
      <c r="D1091" s="1">
        <v>3552</v>
      </c>
      <c r="E1091" s="1" t="s">
        <v>16</v>
      </c>
      <c r="F1091">
        <v>93</v>
      </c>
      <c r="G1091">
        <v>1</v>
      </c>
      <c r="J1091">
        <v>13.9</v>
      </c>
      <c r="K1091">
        <v>60</v>
      </c>
    </row>
    <row r="1092" spans="1:11" x14ac:dyDescent="0.3">
      <c r="A1092">
        <v>2023</v>
      </c>
      <c r="B1092">
        <v>251</v>
      </c>
      <c r="C1092">
        <v>27</v>
      </c>
      <c r="D1092" s="1">
        <v>3553</v>
      </c>
      <c r="E1092" s="1" t="s">
        <v>16</v>
      </c>
      <c r="F1092">
        <v>202</v>
      </c>
      <c r="G1092">
        <v>1</v>
      </c>
      <c r="J1092">
        <v>3.8</v>
      </c>
    </row>
    <row r="1093" spans="1:11" x14ac:dyDescent="0.3">
      <c r="A1093">
        <v>2023</v>
      </c>
      <c r="B1093">
        <v>251</v>
      </c>
      <c r="C1093">
        <v>28</v>
      </c>
      <c r="D1093" s="1">
        <v>3554</v>
      </c>
      <c r="E1093" s="1" t="s">
        <v>16</v>
      </c>
      <c r="F1093">
        <v>93</v>
      </c>
      <c r="G1093">
        <v>1</v>
      </c>
      <c r="J1093">
        <v>4.4000000000000004</v>
      </c>
    </row>
    <row r="1094" spans="1:11" x14ac:dyDescent="0.3">
      <c r="A1094">
        <v>2023</v>
      </c>
      <c r="B1094">
        <v>251</v>
      </c>
      <c r="C1094">
        <v>29</v>
      </c>
      <c r="D1094" s="1">
        <v>3555</v>
      </c>
      <c r="E1094" s="1" t="s">
        <v>16</v>
      </c>
      <c r="F1094">
        <v>93</v>
      </c>
      <c r="G1094">
        <v>1</v>
      </c>
      <c r="J1094">
        <v>2.6</v>
      </c>
    </row>
    <row r="1095" spans="1:11" x14ac:dyDescent="0.3">
      <c r="A1095">
        <v>2023</v>
      </c>
      <c r="B1095">
        <v>251</v>
      </c>
      <c r="C1095">
        <v>30</v>
      </c>
      <c r="D1095" s="1">
        <v>3556</v>
      </c>
      <c r="E1095" s="1" t="s">
        <v>16</v>
      </c>
      <c r="F1095">
        <v>202</v>
      </c>
      <c r="G1095">
        <v>1</v>
      </c>
      <c r="J1095">
        <v>1.6</v>
      </c>
    </row>
    <row r="1096" spans="1:11" x14ac:dyDescent="0.3">
      <c r="A1096">
        <v>2023</v>
      </c>
      <c r="B1096">
        <v>251</v>
      </c>
      <c r="C1096">
        <v>31</v>
      </c>
      <c r="D1096" s="1">
        <v>3557</v>
      </c>
      <c r="E1096" s="1" t="s">
        <v>16</v>
      </c>
      <c r="F1096">
        <v>202</v>
      </c>
      <c r="G1096">
        <v>1</v>
      </c>
      <c r="J1096">
        <v>1.1000000000000001</v>
      </c>
    </row>
    <row r="1097" spans="1:11" x14ac:dyDescent="0.3">
      <c r="A1097">
        <v>2023</v>
      </c>
      <c r="B1097">
        <v>251</v>
      </c>
      <c r="C1097">
        <v>32</v>
      </c>
      <c r="D1097" s="1">
        <v>3558</v>
      </c>
      <c r="E1097" s="1" t="s">
        <v>19</v>
      </c>
      <c r="F1097">
        <v>93</v>
      </c>
      <c r="G1097">
        <v>0</v>
      </c>
      <c r="H1097" t="s">
        <v>89</v>
      </c>
    </row>
    <row r="1098" spans="1:11" x14ac:dyDescent="0.3">
      <c r="A1098">
        <v>2023</v>
      </c>
      <c r="B1098">
        <v>251</v>
      </c>
      <c r="C1098">
        <v>33</v>
      </c>
      <c r="D1098" s="1">
        <v>3559</v>
      </c>
      <c r="E1098" s="1" t="s">
        <v>16</v>
      </c>
      <c r="F1098">
        <v>93</v>
      </c>
      <c r="G1098">
        <v>1</v>
      </c>
      <c r="J1098">
        <v>1.6</v>
      </c>
    </row>
    <row r="1099" spans="1:11" x14ac:dyDescent="0.3">
      <c r="A1099">
        <v>2023</v>
      </c>
      <c r="B1099">
        <v>251</v>
      </c>
      <c r="C1099">
        <v>34</v>
      </c>
      <c r="D1099" s="1">
        <v>3560</v>
      </c>
      <c r="E1099" s="1" t="s">
        <v>16</v>
      </c>
      <c r="F1099">
        <v>93</v>
      </c>
      <c r="G1099">
        <v>1</v>
      </c>
      <c r="J1099">
        <v>1.7</v>
      </c>
    </row>
    <row r="1100" spans="1:11" x14ac:dyDescent="0.3">
      <c r="A1100">
        <v>2023</v>
      </c>
      <c r="B1100">
        <v>276</v>
      </c>
      <c r="C1100">
        <v>1</v>
      </c>
      <c r="D1100" s="1">
        <v>4062</v>
      </c>
      <c r="E1100" s="1" t="s">
        <v>16</v>
      </c>
      <c r="F1100">
        <v>202</v>
      </c>
      <c r="G1100">
        <v>1</v>
      </c>
      <c r="J1100">
        <v>6.8</v>
      </c>
      <c r="K1100">
        <v>29</v>
      </c>
    </row>
    <row r="1101" spans="1:11" x14ac:dyDescent="0.3">
      <c r="A1101">
        <v>2023</v>
      </c>
      <c r="B1101">
        <v>276</v>
      </c>
      <c r="C1101">
        <v>2</v>
      </c>
      <c r="D1101" s="1">
        <v>4063</v>
      </c>
      <c r="E1101" s="1" t="s">
        <v>16</v>
      </c>
      <c r="F1101">
        <v>202</v>
      </c>
      <c r="G1101">
        <v>1</v>
      </c>
      <c r="J1101">
        <v>17</v>
      </c>
      <c r="K1101">
        <v>64</v>
      </c>
    </row>
    <row r="1102" spans="1:11" x14ac:dyDescent="0.3">
      <c r="A1102">
        <v>2023</v>
      </c>
      <c r="B1102">
        <v>276</v>
      </c>
      <c r="C1102">
        <v>3</v>
      </c>
      <c r="D1102" s="1">
        <v>4064</v>
      </c>
      <c r="E1102" s="1" t="s">
        <v>16</v>
      </c>
      <c r="F1102">
        <v>202</v>
      </c>
      <c r="G1102">
        <v>1</v>
      </c>
      <c r="J1102">
        <v>8.1</v>
      </c>
      <c r="K1102">
        <v>32</v>
      </c>
    </row>
    <row r="1103" spans="1:11" x14ac:dyDescent="0.3">
      <c r="A1103">
        <v>2023</v>
      </c>
      <c r="B1103">
        <v>276</v>
      </c>
      <c r="C1103">
        <v>4</v>
      </c>
      <c r="D1103" s="1">
        <v>4065</v>
      </c>
      <c r="E1103" s="1" t="s">
        <v>16</v>
      </c>
      <c r="F1103">
        <v>202</v>
      </c>
      <c r="G1103">
        <v>1</v>
      </c>
      <c r="J1103">
        <v>17.7</v>
      </c>
      <c r="K1103">
        <v>74</v>
      </c>
    </row>
    <row r="1104" spans="1:11" x14ac:dyDescent="0.3">
      <c r="A1104">
        <v>2023</v>
      </c>
      <c r="B1104">
        <v>276</v>
      </c>
      <c r="C1104">
        <v>5</v>
      </c>
      <c r="D1104" s="1">
        <v>4066</v>
      </c>
      <c r="E1104" s="1" t="s">
        <v>16</v>
      </c>
      <c r="F1104">
        <v>202</v>
      </c>
      <c r="G1104">
        <v>1</v>
      </c>
      <c r="J1104">
        <v>9.3000000000000007</v>
      </c>
      <c r="K1104">
        <v>42</v>
      </c>
    </row>
    <row r="1105" spans="1:16" x14ac:dyDescent="0.3">
      <c r="A1105">
        <v>2023</v>
      </c>
      <c r="B1105">
        <v>276</v>
      </c>
      <c r="C1105">
        <v>6</v>
      </c>
      <c r="D1105" s="1">
        <v>4067</v>
      </c>
      <c r="E1105" s="1" t="s">
        <v>16</v>
      </c>
      <c r="F1105">
        <v>202</v>
      </c>
      <c r="G1105">
        <v>1</v>
      </c>
      <c r="J1105">
        <v>6.5</v>
      </c>
      <c r="K1105">
        <v>39</v>
      </c>
    </row>
    <row r="1106" spans="1:16" x14ac:dyDescent="0.3">
      <c r="A1106">
        <v>2023</v>
      </c>
      <c r="B1106">
        <v>276</v>
      </c>
      <c r="C1106">
        <v>7</v>
      </c>
      <c r="D1106" s="1">
        <v>4068</v>
      </c>
      <c r="E1106" s="1" t="s">
        <v>16</v>
      </c>
      <c r="F1106">
        <v>202</v>
      </c>
      <c r="G1106">
        <v>1</v>
      </c>
      <c r="J1106">
        <v>6.5</v>
      </c>
      <c r="K1106">
        <v>47</v>
      </c>
      <c r="P1106" t="s">
        <v>127</v>
      </c>
    </row>
    <row r="1107" spans="1:16" x14ac:dyDescent="0.3">
      <c r="A1107">
        <v>2023</v>
      </c>
      <c r="B1107">
        <v>276</v>
      </c>
      <c r="C1107">
        <v>8</v>
      </c>
      <c r="D1107" s="1">
        <v>4069</v>
      </c>
      <c r="E1107" s="1" t="s">
        <v>16</v>
      </c>
      <c r="F1107">
        <v>202</v>
      </c>
      <c r="G1107">
        <v>1</v>
      </c>
      <c r="J1107">
        <v>6.3</v>
      </c>
      <c r="K1107">
        <v>43</v>
      </c>
      <c r="P1107" t="s">
        <v>128</v>
      </c>
    </row>
    <row r="1108" spans="1:16" x14ac:dyDescent="0.3">
      <c r="A1108">
        <v>2023</v>
      </c>
      <c r="B1108">
        <v>276</v>
      </c>
      <c r="C1108">
        <v>9</v>
      </c>
      <c r="D1108" s="1">
        <v>4070</v>
      </c>
      <c r="E1108" s="1" t="s">
        <v>16</v>
      </c>
      <c r="F1108">
        <v>202</v>
      </c>
      <c r="G1108">
        <v>1</v>
      </c>
      <c r="J1108">
        <v>9.4</v>
      </c>
      <c r="K1108">
        <v>48</v>
      </c>
    </row>
    <row r="1109" spans="1:16" x14ac:dyDescent="0.3">
      <c r="A1109">
        <v>2023</v>
      </c>
      <c r="B1109">
        <v>276</v>
      </c>
      <c r="C1109">
        <v>10</v>
      </c>
      <c r="D1109" s="1">
        <v>4071</v>
      </c>
      <c r="E1109" s="1" t="s">
        <v>16</v>
      </c>
      <c r="F1109">
        <v>202</v>
      </c>
      <c r="G1109">
        <v>1</v>
      </c>
      <c r="J1109">
        <v>9.9</v>
      </c>
      <c r="K1109">
        <v>49</v>
      </c>
    </row>
    <row r="1110" spans="1:16" x14ac:dyDescent="0.3">
      <c r="A1110">
        <v>2023</v>
      </c>
      <c r="B1110">
        <v>276</v>
      </c>
      <c r="C1110">
        <v>11</v>
      </c>
      <c r="D1110" s="1">
        <v>4072</v>
      </c>
      <c r="E1110" s="1" t="s">
        <v>16</v>
      </c>
      <c r="F1110">
        <v>202</v>
      </c>
      <c r="G1110">
        <v>1</v>
      </c>
      <c r="J1110">
        <v>9.3000000000000007</v>
      </c>
      <c r="K1110">
        <v>57</v>
      </c>
    </row>
    <row r="1111" spans="1:16" x14ac:dyDescent="0.3">
      <c r="A1111">
        <v>2023</v>
      </c>
      <c r="B1111">
        <v>276</v>
      </c>
      <c r="C1111">
        <v>12</v>
      </c>
      <c r="D1111" s="1">
        <v>4073</v>
      </c>
      <c r="E1111" s="1" t="s">
        <v>16</v>
      </c>
      <c r="F1111">
        <v>202</v>
      </c>
      <c r="G1111">
        <v>1</v>
      </c>
      <c r="J1111">
        <v>8.4</v>
      </c>
      <c r="K1111">
        <v>43</v>
      </c>
      <c r="P1111" t="s">
        <v>129</v>
      </c>
    </row>
    <row r="1112" spans="1:16" x14ac:dyDescent="0.3">
      <c r="A1112">
        <v>2023</v>
      </c>
      <c r="B1112">
        <v>276</v>
      </c>
      <c r="C1112">
        <v>13</v>
      </c>
      <c r="D1112" s="1">
        <v>4074</v>
      </c>
      <c r="E1112" s="1" t="s">
        <v>16</v>
      </c>
      <c r="F1112">
        <v>202</v>
      </c>
      <c r="G1112">
        <v>1</v>
      </c>
      <c r="J1112">
        <v>6.1</v>
      </c>
      <c r="K1112">
        <v>38</v>
      </c>
    </row>
    <row r="1113" spans="1:16" x14ac:dyDescent="0.3">
      <c r="A1113">
        <v>2023</v>
      </c>
      <c r="B1113">
        <v>276</v>
      </c>
      <c r="C1113">
        <v>14</v>
      </c>
      <c r="D1113" s="1">
        <v>4075</v>
      </c>
      <c r="E1113" s="1" t="s">
        <v>16</v>
      </c>
      <c r="F1113">
        <v>202</v>
      </c>
      <c r="G1113">
        <v>1</v>
      </c>
      <c r="J1113">
        <v>5.5</v>
      </c>
      <c r="K1113">
        <v>36</v>
      </c>
    </row>
    <row r="1114" spans="1:16" x14ac:dyDescent="0.3">
      <c r="A1114">
        <v>2023</v>
      </c>
      <c r="B1114">
        <v>276</v>
      </c>
      <c r="C1114">
        <v>15</v>
      </c>
      <c r="D1114" s="1">
        <v>4076</v>
      </c>
      <c r="E1114" s="1" t="s">
        <v>16</v>
      </c>
      <c r="F1114">
        <v>73</v>
      </c>
      <c r="G1114">
        <v>1</v>
      </c>
      <c r="J1114">
        <v>8</v>
      </c>
      <c r="K1114">
        <v>47</v>
      </c>
      <c r="P1114" t="s">
        <v>130</v>
      </c>
    </row>
    <row r="1115" spans="1:16" x14ac:dyDescent="0.3">
      <c r="A1115">
        <v>2023</v>
      </c>
      <c r="B1115">
        <v>276</v>
      </c>
      <c r="C1115">
        <v>16</v>
      </c>
      <c r="D1115" s="1">
        <v>4077</v>
      </c>
      <c r="E1115" s="1" t="s">
        <v>16</v>
      </c>
      <c r="F1115">
        <v>202</v>
      </c>
      <c r="G1115">
        <v>1</v>
      </c>
      <c r="J1115">
        <v>6.1</v>
      </c>
      <c r="K1115">
        <v>45</v>
      </c>
    </row>
    <row r="1116" spans="1:16" x14ac:dyDescent="0.3">
      <c r="A1116">
        <v>2023</v>
      </c>
      <c r="B1116">
        <v>276</v>
      </c>
      <c r="C1116">
        <v>17</v>
      </c>
      <c r="D1116" s="1">
        <v>4078</v>
      </c>
      <c r="E1116" s="1" t="s">
        <v>16</v>
      </c>
      <c r="F1116">
        <v>202</v>
      </c>
      <c r="G1116">
        <v>1</v>
      </c>
      <c r="J1116">
        <v>8.9</v>
      </c>
      <c r="K1116">
        <v>52</v>
      </c>
    </row>
    <row r="1117" spans="1:16" x14ac:dyDescent="0.3">
      <c r="A1117">
        <v>2023</v>
      </c>
      <c r="B1117">
        <v>276</v>
      </c>
      <c r="C1117">
        <v>18</v>
      </c>
      <c r="D1117" s="1">
        <v>4079</v>
      </c>
      <c r="E1117" s="1" t="s">
        <v>16</v>
      </c>
      <c r="F1117">
        <v>202</v>
      </c>
      <c r="G1117">
        <v>1</v>
      </c>
      <c r="J1117">
        <v>7.9</v>
      </c>
      <c r="K1117">
        <v>54</v>
      </c>
    </row>
    <row r="1118" spans="1:16" x14ac:dyDescent="0.3">
      <c r="A1118">
        <v>2023</v>
      </c>
      <c r="B1118">
        <v>276</v>
      </c>
      <c r="C1118">
        <v>19</v>
      </c>
      <c r="D1118" s="1">
        <v>4080</v>
      </c>
      <c r="E1118" s="1" t="s">
        <v>16</v>
      </c>
      <c r="F1118">
        <v>202</v>
      </c>
      <c r="G1118">
        <v>1</v>
      </c>
      <c r="J1118">
        <v>7.2</v>
      </c>
      <c r="K1118">
        <v>34</v>
      </c>
    </row>
    <row r="1119" spans="1:16" x14ac:dyDescent="0.3">
      <c r="A1119">
        <v>2023</v>
      </c>
      <c r="B1119">
        <v>276</v>
      </c>
      <c r="C1119">
        <v>20</v>
      </c>
      <c r="D1119" s="1">
        <v>4081</v>
      </c>
      <c r="E1119" s="1" t="s">
        <v>16</v>
      </c>
      <c r="F1119">
        <v>202</v>
      </c>
      <c r="G1119">
        <v>1</v>
      </c>
      <c r="J1119">
        <v>9.9</v>
      </c>
      <c r="K1119">
        <v>48</v>
      </c>
    </row>
    <row r="1120" spans="1:16" x14ac:dyDescent="0.3">
      <c r="A1120">
        <v>2023</v>
      </c>
      <c r="B1120">
        <v>276</v>
      </c>
      <c r="C1120">
        <v>21</v>
      </c>
      <c r="D1120" s="1">
        <v>4082</v>
      </c>
      <c r="E1120" s="1" t="s">
        <v>16</v>
      </c>
      <c r="F1120">
        <v>202</v>
      </c>
      <c r="G1120">
        <v>1</v>
      </c>
      <c r="J1120">
        <v>5.6</v>
      </c>
      <c r="K1120">
        <v>28</v>
      </c>
    </row>
    <row r="1121" spans="1:16" x14ac:dyDescent="0.3">
      <c r="A1121">
        <v>2023</v>
      </c>
      <c r="B1121">
        <v>276</v>
      </c>
      <c r="C1121">
        <v>22</v>
      </c>
      <c r="D1121" s="1">
        <v>4083</v>
      </c>
      <c r="E1121" s="1" t="s">
        <v>16</v>
      </c>
      <c r="F1121">
        <v>73</v>
      </c>
      <c r="G1121">
        <v>1</v>
      </c>
      <c r="J1121">
        <v>16.399999999999999</v>
      </c>
      <c r="K1121">
        <v>75</v>
      </c>
    </row>
    <row r="1122" spans="1:16" x14ac:dyDescent="0.3">
      <c r="A1122">
        <v>2023</v>
      </c>
      <c r="B1122">
        <v>276</v>
      </c>
      <c r="C1122">
        <v>23</v>
      </c>
      <c r="D1122" s="1">
        <v>4084</v>
      </c>
      <c r="E1122" s="1" t="s">
        <v>16</v>
      </c>
      <c r="F1122">
        <v>202</v>
      </c>
      <c r="G1122">
        <v>1</v>
      </c>
      <c r="J1122">
        <v>7.8</v>
      </c>
      <c r="K1122">
        <v>39</v>
      </c>
    </row>
    <row r="1123" spans="1:16" x14ac:dyDescent="0.3">
      <c r="A1123">
        <v>2023</v>
      </c>
      <c r="B1123">
        <v>276</v>
      </c>
      <c r="C1123">
        <v>24</v>
      </c>
      <c r="D1123" s="1">
        <v>4085</v>
      </c>
      <c r="E1123" s="1" t="s">
        <v>16</v>
      </c>
      <c r="F1123">
        <v>202</v>
      </c>
      <c r="G1123">
        <v>1</v>
      </c>
      <c r="J1123">
        <v>7.9</v>
      </c>
      <c r="K1123">
        <v>37</v>
      </c>
    </row>
    <row r="1124" spans="1:16" x14ac:dyDescent="0.3">
      <c r="A1124">
        <v>2023</v>
      </c>
      <c r="B1124">
        <v>276</v>
      </c>
      <c r="C1124">
        <v>25</v>
      </c>
      <c r="D1124" s="1">
        <v>4086</v>
      </c>
      <c r="E1124" s="1" t="s">
        <v>16</v>
      </c>
      <c r="F1124">
        <v>202</v>
      </c>
      <c r="G1124">
        <v>1</v>
      </c>
      <c r="J1124">
        <v>5.3</v>
      </c>
      <c r="K1124">
        <v>29</v>
      </c>
    </row>
    <row r="1125" spans="1:16" x14ac:dyDescent="0.3">
      <c r="A1125">
        <v>2023</v>
      </c>
      <c r="B1125">
        <v>276</v>
      </c>
      <c r="C1125">
        <v>26</v>
      </c>
      <c r="D1125" s="1">
        <v>4087</v>
      </c>
      <c r="E1125" s="1" t="s">
        <v>16</v>
      </c>
      <c r="F1125">
        <v>202</v>
      </c>
      <c r="G1125">
        <v>1</v>
      </c>
      <c r="J1125">
        <v>8.1999999999999993</v>
      </c>
      <c r="K1125">
        <v>44</v>
      </c>
    </row>
    <row r="1126" spans="1:16" x14ac:dyDescent="0.3">
      <c r="A1126">
        <v>2023</v>
      </c>
      <c r="B1126">
        <v>276</v>
      </c>
      <c r="C1126">
        <v>27</v>
      </c>
      <c r="D1126" s="1">
        <v>4088</v>
      </c>
      <c r="E1126" s="1" t="s">
        <v>19</v>
      </c>
      <c r="F1126">
        <v>202</v>
      </c>
      <c r="G1126">
        <v>0</v>
      </c>
      <c r="H1126" t="s">
        <v>89</v>
      </c>
      <c r="P1126" t="s">
        <v>131</v>
      </c>
    </row>
    <row r="1127" spans="1:16" x14ac:dyDescent="0.3">
      <c r="A1127">
        <v>2023</v>
      </c>
      <c r="B1127">
        <v>280</v>
      </c>
      <c r="C1127">
        <v>1</v>
      </c>
      <c r="D1127" s="1">
        <v>4111</v>
      </c>
      <c r="E1127" s="1" t="s">
        <v>16</v>
      </c>
      <c r="F1127">
        <v>108</v>
      </c>
      <c r="G1127">
        <v>1</v>
      </c>
      <c r="J1127">
        <v>7.4</v>
      </c>
      <c r="K1127">
        <v>63</v>
      </c>
    </row>
    <row r="1128" spans="1:16" x14ac:dyDescent="0.3">
      <c r="A1128">
        <v>2023</v>
      </c>
      <c r="B1128">
        <v>280</v>
      </c>
      <c r="C1128">
        <v>2</v>
      </c>
      <c r="D1128" s="1">
        <v>4112</v>
      </c>
      <c r="E1128" s="1" t="s">
        <v>16</v>
      </c>
      <c r="F1128">
        <v>108</v>
      </c>
      <c r="G1128">
        <v>1</v>
      </c>
      <c r="J1128">
        <v>5.9</v>
      </c>
      <c r="K1128">
        <v>64</v>
      </c>
    </row>
    <row r="1129" spans="1:16" x14ac:dyDescent="0.3">
      <c r="A1129">
        <v>2023</v>
      </c>
      <c r="B1129">
        <v>280</v>
      </c>
      <c r="C1129">
        <v>3</v>
      </c>
      <c r="D1129" s="1">
        <v>4113</v>
      </c>
      <c r="E1129" s="1" t="s">
        <v>16</v>
      </c>
      <c r="F1129">
        <v>108</v>
      </c>
      <c r="G1129">
        <v>1</v>
      </c>
      <c r="J1129">
        <v>9</v>
      </c>
      <c r="K1129">
        <v>60</v>
      </c>
    </row>
    <row r="1130" spans="1:16" x14ac:dyDescent="0.3">
      <c r="A1130">
        <v>2023</v>
      </c>
      <c r="B1130">
        <v>280</v>
      </c>
      <c r="C1130">
        <v>4</v>
      </c>
      <c r="D1130" s="1">
        <v>4114</v>
      </c>
      <c r="E1130" s="1" t="s">
        <v>16</v>
      </c>
      <c r="F1130">
        <v>108</v>
      </c>
      <c r="G1130">
        <v>1</v>
      </c>
      <c r="J1130">
        <v>7.5</v>
      </c>
      <c r="K1130">
        <v>61</v>
      </c>
    </row>
    <row r="1131" spans="1:16" x14ac:dyDescent="0.3">
      <c r="A1131">
        <v>2023</v>
      </c>
      <c r="B1131">
        <v>280</v>
      </c>
      <c r="C1131">
        <v>5</v>
      </c>
      <c r="D1131" s="1">
        <v>4115</v>
      </c>
      <c r="E1131" s="1" t="s">
        <v>24</v>
      </c>
      <c r="F1131">
        <v>108</v>
      </c>
      <c r="G1131">
        <v>0</v>
      </c>
      <c r="H1131" t="s">
        <v>89</v>
      </c>
      <c r="P1131" t="s">
        <v>125</v>
      </c>
    </row>
    <row r="1132" spans="1:16" x14ac:dyDescent="0.3">
      <c r="A1132">
        <v>2023</v>
      </c>
      <c r="B1132">
        <v>280</v>
      </c>
      <c r="C1132">
        <v>6</v>
      </c>
      <c r="D1132" s="1">
        <v>4116</v>
      </c>
      <c r="E1132" s="1" t="s">
        <v>24</v>
      </c>
      <c r="F1132">
        <v>108</v>
      </c>
      <c r="G1132">
        <v>0</v>
      </c>
      <c r="H1132" t="s">
        <v>89</v>
      </c>
      <c r="P1132" t="s">
        <v>125</v>
      </c>
    </row>
    <row r="1133" spans="1:16" x14ac:dyDescent="0.3">
      <c r="A1133">
        <v>2023</v>
      </c>
      <c r="B1133">
        <v>280</v>
      </c>
      <c r="C1133">
        <v>7</v>
      </c>
      <c r="D1133" s="1">
        <v>4117</v>
      </c>
      <c r="E1133" s="1" t="s">
        <v>16</v>
      </c>
      <c r="F1133">
        <v>108</v>
      </c>
      <c r="G1133">
        <v>1</v>
      </c>
      <c r="J1133">
        <v>6.1</v>
      </c>
      <c r="K1133">
        <v>63</v>
      </c>
    </row>
    <row r="1134" spans="1:16" x14ac:dyDescent="0.3">
      <c r="A1134">
        <v>2023</v>
      </c>
      <c r="B1134">
        <v>280</v>
      </c>
      <c r="C1134">
        <v>8</v>
      </c>
      <c r="D1134" s="1">
        <v>4118</v>
      </c>
      <c r="E1134" s="1" t="s">
        <v>16</v>
      </c>
      <c r="F1134">
        <v>108</v>
      </c>
      <c r="G1134">
        <v>1</v>
      </c>
      <c r="J1134">
        <v>5.9</v>
      </c>
      <c r="K1134">
        <v>55</v>
      </c>
    </row>
    <row r="1135" spans="1:16" x14ac:dyDescent="0.3">
      <c r="A1135">
        <v>2023</v>
      </c>
      <c r="B1135">
        <v>280</v>
      </c>
      <c r="C1135">
        <v>9</v>
      </c>
      <c r="D1135" s="1">
        <v>4119</v>
      </c>
      <c r="E1135" s="1" t="s">
        <v>24</v>
      </c>
      <c r="F1135">
        <v>108</v>
      </c>
      <c r="G1135">
        <v>0</v>
      </c>
      <c r="H1135" t="s">
        <v>89</v>
      </c>
      <c r="P1135" t="s">
        <v>125</v>
      </c>
    </row>
    <row r="1136" spans="1:16" x14ac:dyDescent="0.3">
      <c r="A1136">
        <v>2023</v>
      </c>
      <c r="B1136">
        <v>280</v>
      </c>
      <c r="C1136">
        <v>10</v>
      </c>
      <c r="D1136" s="1">
        <v>4120</v>
      </c>
      <c r="E1136" s="1" t="s">
        <v>16</v>
      </c>
      <c r="F1136">
        <v>108</v>
      </c>
      <c r="G1136">
        <v>1</v>
      </c>
      <c r="J1136">
        <v>5.2</v>
      </c>
      <c r="K1136">
        <v>50</v>
      </c>
    </row>
    <row r="1137" spans="1:14" x14ac:dyDescent="0.3">
      <c r="A1137">
        <v>2023</v>
      </c>
      <c r="B1137">
        <v>280</v>
      </c>
      <c r="C1137">
        <v>11</v>
      </c>
      <c r="D1137" s="1">
        <v>4121</v>
      </c>
      <c r="E1137" s="1" t="s">
        <v>16</v>
      </c>
      <c r="F1137">
        <v>108</v>
      </c>
      <c r="G1137">
        <v>1</v>
      </c>
      <c r="J1137">
        <v>7.3</v>
      </c>
      <c r="K1137">
        <v>55</v>
      </c>
    </row>
    <row r="1138" spans="1:14" x14ac:dyDescent="0.3">
      <c r="A1138">
        <v>2023</v>
      </c>
      <c r="B1138">
        <v>280</v>
      </c>
      <c r="C1138">
        <v>12</v>
      </c>
      <c r="D1138" s="1">
        <v>4122</v>
      </c>
      <c r="E1138" s="1" t="s">
        <v>16</v>
      </c>
      <c r="F1138">
        <v>108</v>
      </c>
      <c r="G1138">
        <v>1</v>
      </c>
      <c r="J1138">
        <v>5.5</v>
      </c>
      <c r="K1138">
        <v>56</v>
      </c>
    </row>
    <row r="1139" spans="1:14" x14ac:dyDescent="0.3">
      <c r="A1139">
        <v>2023</v>
      </c>
      <c r="B1139">
        <v>280</v>
      </c>
      <c r="C1139">
        <v>13</v>
      </c>
      <c r="D1139" s="1">
        <v>4123</v>
      </c>
      <c r="E1139" s="1" t="s">
        <v>16</v>
      </c>
      <c r="F1139">
        <v>108</v>
      </c>
      <c r="G1139">
        <v>1</v>
      </c>
      <c r="J1139">
        <v>5.8</v>
      </c>
      <c r="K1139">
        <v>56</v>
      </c>
    </row>
    <row r="1140" spans="1:14" x14ac:dyDescent="0.3">
      <c r="A1140">
        <v>2023</v>
      </c>
      <c r="B1140">
        <v>280</v>
      </c>
      <c r="C1140">
        <v>14</v>
      </c>
      <c r="D1140" s="1">
        <v>4124</v>
      </c>
      <c r="E1140" s="1" t="s">
        <v>16</v>
      </c>
      <c r="F1140">
        <v>108</v>
      </c>
      <c r="G1140">
        <v>1</v>
      </c>
      <c r="J1140">
        <v>6.5</v>
      </c>
      <c r="K1140">
        <v>56</v>
      </c>
    </row>
    <row r="1141" spans="1:14" x14ac:dyDescent="0.3">
      <c r="A1141">
        <v>2023</v>
      </c>
      <c r="B1141">
        <v>280</v>
      </c>
      <c r="C1141">
        <v>15</v>
      </c>
      <c r="D1141" s="1">
        <v>4125</v>
      </c>
      <c r="E1141" s="1" t="s">
        <v>16</v>
      </c>
      <c r="F1141">
        <v>108</v>
      </c>
      <c r="G1141">
        <v>1</v>
      </c>
      <c r="J1141">
        <v>6.9</v>
      </c>
      <c r="K1141">
        <v>56</v>
      </c>
    </row>
    <row r="1142" spans="1:14" x14ac:dyDescent="0.3">
      <c r="A1142">
        <v>2023</v>
      </c>
      <c r="B1142">
        <v>280</v>
      </c>
      <c r="C1142">
        <v>16</v>
      </c>
      <c r="D1142" s="1">
        <v>4126</v>
      </c>
      <c r="E1142" s="1" t="s">
        <v>16</v>
      </c>
      <c r="F1142">
        <v>108</v>
      </c>
      <c r="G1142">
        <v>1</v>
      </c>
      <c r="J1142">
        <v>6.6</v>
      </c>
      <c r="K1142">
        <v>57</v>
      </c>
    </row>
    <row r="1143" spans="1:14" x14ac:dyDescent="0.3">
      <c r="A1143">
        <v>2023</v>
      </c>
      <c r="B1143">
        <v>280</v>
      </c>
      <c r="C1143">
        <v>17</v>
      </c>
      <c r="D1143" s="1">
        <v>4127</v>
      </c>
      <c r="E1143" s="1" t="s">
        <v>16</v>
      </c>
      <c r="F1143">
        <v>108</v>
      </c>
      <c r="G1143">
        <v>1</v>
      </c>
      <c r="J1143">
        <v>6.1</v>
      </c>
      <c r="K1143">
        <v>57</v>
      </c>
    </row>
    <row r="1144" spans="1:14" x14ac:dyDescent="0.3">
      <c r="A1144">
        <v>2023</v>
      </c>
      <c r="B1144">
        <v>280</v>
      </c>
      <c r="C1144">
        <v>18</v>
      </c>
      <c r="D1144" s="1">
        <v>4128</v>
      </c>
      <c r="E1144" s="1" t="s">
        <v>16</v>
      </c>
      <c r="F1144">
        <v>108</v>
      </c>
      <c r="G1144">
        <v>1</v>
      </c>
      <c r="J1144">
        <v>5.4</v>
      </c>
      <c r="K1144">
        <v>54</v>
      </c>
    </row>
    <row r="1145" spans="1:14" x14ac:dyDescent="0.3">
      <c r="A1145">
        <v>2023</v>
      </c>
      <c r="B1145">
        <v>280</v>
      </c>
      <c r="C1145">
        <v>19</v>
      </c>
      <c r="D1145" s="1">
        <v>4129</v>
      </c>
      <c r="E1145" s="1" t="s">
        <v>16</v>
      </c>
      <c r="F1145">
        <v>108</v>
      </c>
      <c r="G1145">
        <v>1</v>
      </c>
      <c r="J1145">
        <v>5.8</v>
      </c>
      <c r="K1145">
        <v>50</v>
      </c>
    </row>
    <row r="1146" spans="1:14" x14ac:dyDescent="0.3">
      <c r="A1146">
        <v>2023</v>
      </c>
      <c r="B1146">
        <v>280</v>
      </c>
      <c r="C1146">
        <v>20</v>
      </c>
      <c r="D1146" s="1">
        <v>4130</v>
      </c>
      <c r="E1146" s="1" t="s">
        <v>16</v>
      </c>
      <c r="F1146">
        <v>108</v>
      </c>
      <c r="G1146">
        <v>1</v>
      </c>
      <c r="J1146">
        <v>5.8</v>
      </c>
      <c r="K1146">
        <v>52</v>
      </c>
    </row>
    <row r="1147" spans="1:14" x14ac:dyDescent="0.3">
      <c r="A1147">
        <v>2023</v>
      </c>
      <c r="B1147">
        <v>280</v>
      </c>
      <c r="C1147">
        <v>21</v>
      </c>
      <c r="D1147" s="1">
        <v>4131</v>
      </c>
      <c r="E1147" s="1" t="s">
        <v>16</v>
      </c>
      <c r="F1147">
        <v>108</v>
      </c>
      <c r="G1147">
        <v>1</v>
      </c>
      <c r="J1147">
        <v>6.1</v>
      </c>
      <c r="K1147">
        <v>55</v>
      </c>
    </row>
    <row r="1148" spans="1:14" x14ac:dyDescent="0.3">
      <c r="A1148">
        <v>2023</v>
      </c>
      <c r="B1148">
        <v>280</v>
      </c>
      <c r="C1148">
        <v>22</v>
      </c>
      <c r="D1148" s="1">
        <v>4132</v>
      </c>
      <c r="E1148" s="1" t="s">
        <v>16</v>
      </c>
      <c r="F1148">
        <v>108</v>
      </c>
      <c r="G1148">
        <v>1</v>
      </c>
      <c r="J1148">
        <v>7</v>
      </c>
      <c r="K1148">
        <v>58</v>
      </c>
    </row>
    <row r="1149" spans="1:14" x14ac:dyDescent="0.3">
      <c r="A1149">
        <v>2023</v>
      </c>
      <c r="B1149">
        <v>280</v>
      </c>
      <c r="C1149">
        <v>23</v>
      </c>
      <c r="D1149" s="1">
        <v>4133</v>
      </c>
      <c r="E1149" s="1" t="s">
        <v>16</v>
      </c>
      <c r="F1149">
        <v>108</v>
      </c>
      <c r="G1149">
        <v>1</v>
      </c>
      <c r="J1149">
        <v>6</v>
      </c>
      <c r="K1149">
        <v>56</v>
      </c>
    </row>
    <row r="1150" spans="1:14" x14ac:dyDescent="0.3">
      <c r="A1150">
        <v>2023</v>
      </c>
      <c r="B1150">
        <v>280</v>
      </c>
      <c r="C1150">
        <v>24</v>
      </c>
      <c r="D1150" s="1">
        <v>4134</v>
      </c>
      <c r="E1150" s="1" t="s">
        <v>34</v>
      </c>
      <c r="F1150">
        <v>108</v>
      </c>
      <c r="G1150">
        <v>2</v>
      </c>
      <c r="I1150">
        <v>3</v>
      </c>
      <c r="J1150">
        <v>5</v>
      </c>
      <c r="K1150">
        <v>49</v>
      </c>
      <c r="L1150">
        <v>27</v>
      </c>
      <c r="M1150" s="1">
        <v>18</v>
      </c>
      <c r="N1150" s="1">
        <v>3</v>
      </c>
    </row>
    <row r="1151" spans="1:14" x14ac:dyDescent="0.3">
      <c r="A1151">
        <v>2023</v>
      </c>
      <c r="B1151">
        <v>280</v>
      </c>
      <c r="C1151">
        <v>25</v>
      </c>
      <c r="D1151" s="1">
        <v>4135</v>
      </c>
      <c r="E1151" s="1" t="s">
        <v>16</v>
      </c>
      <c r="F1151">
        <v>108</v>
      </c>
      <c r="G1151">
        <v>1</v>
      </c>
      <c r="J1151">
        <v>5.8</v>
      </c>
      <c r="K1151">
        <v>54</v>
      </c>
    </row>
    <row r="1152" spans="1:14" x14ac:dyDescent="0.3">
      <c r="A1152">
        <v>2023</v>
      </c>
      <c r="B1152">
        <v>280</v>
      </c>
      <c r="C1152">
        <v>26</v>
      </c>
      <c r="D1152" s="1">
        <v>4136</v>
      </c>
      <c r="E1152" s="1" t="s">
        <v>16</v>
      </c>
      <c r="F1152">
        <v>108</v>
      </c>
      <c r="G1152">
        <v>1</v>
      </c>
      <c r="J1152">
        <v>6</v>
      </c>
      <c r="K1152">
        <v>53</v>
      </c>
    </row>
    <row r="1153" spans="1:16" x14ac:dyDescent="0.3">
      <c r="A1153">
        <v>2023</v>
      </c>
      <c r="B1153">
        <v>280</v>
      </c>
      <c r="C1153">
        <v>27</v>
      </c>
      <c r="D1153" s="1">
        <v>4137</v>
      </c>
      <c r="E1153" s="1" t="s">
        <v>16</v>
      </c>
      <c r="F1153">
        <v>108</v>
      </c>
      <c r="G1153">
        <v>1</v>
      </c>
      <c r="J1153">
        <v>9.4</v>
      </c>
      <c r="K1153">
        <v>64</v>
      </c>
    </row>
    <row r="1154" spans="1:16" x14ac:dyDescent="0.3">
      <c r="A1154">
        <v>2023</v>
      </c>
      <c r="B1154">
        <v>280</v>
      </c>
      <c r="C1154">
        <v>28</v>
      </c>
      <c r="D1154" s="1">
        <v>4138</v>
      </c>
      <c r="E1154" s="1" t="s">
        <v>16</v>
      </c>
      <c r="F1154">
        <v>108</v>
      </c>
      <c r="G1154">
        <v>1</v>
      </c>
      <c r="J1154">
        <v>5.7</v>
      </c>
      <c r="K1154">
        <v>51</v>
      </c>
    </row>
    <row r="1155" spans="1:16" x14ac:dyDescent="0.3">
      <c r="A1155">
        <v>2023</v>
      </c>
      <c r="B1155">
        <v>280</v>
      </c>
      <c r="C1155">
        <v>29</v>
      </c>
      <c r="D1155" s="1">
        <v>4139</v>
      </c>
      <c r="E1155" s="1" t="s">
        <v>16</v>
      </c>
      <c r="F1155">
        <v>108</v>
      </c>
      <c r="G1155">
        <v>1</v>
      </c>
      <c r="J1155">
        <v>6.8</v>
      </c>
      <c r="K1155">
        <v>55</v>
      </c>
    </row>
    <row r="1156" spans="1:16" x14ac:dyDescent="0.3">
      <c r="A1156">
        <v>2023</v>
      </c>
      <c r="B1156">
        <v>280</v>
      </c>
      <c r="C1156">
        <v>30</v>
      </c>
      <c r="D1156" s="1">
        <v>4140</v>
      </c>
      <c r="E1156" s="1" t="s">
        <v>16</v>
      </c>
      <c r="F1156">
        <v>108</v>
      </c>
      <c r="G1156">
        <v>1</v>
      </c>
      <c r="J1156">
        <v>5.8</v>
      </c>
      <c r="K1156">
        <v>53</v>
      </c>
    </row>
    <row r="1157" spans="1:16" x14ac:dyDescent="0.3">
      <c r="A1157">
        <v>2023</v>
      </c>
      <c r="B1157">
        <v>280</v>
      </c>
      <c r="C1157">
        <v>31</v>
      </c>
      <c r="D1157" s="1">
        <v>4141</v>
      </c>
      <c r="E1157" s="1" t="s">
        <v>16</v>
      </c>
      <c r="F1157">
        <v>108</v>
      </c>
      <c r="G1157">
        <v>1</v>
      </c>
      <c r="J1157">
        <v>5.5</v>
      </c>
      <c r="K1157">
        <v>53</v>
      </c>
    </row>
    <row r="1158" spans="1:16" x14ac:dyDescent="0.3">
      <c r="A1158">
        <v>2023</v>
      </c>
      <c r="B1158">
        <v>280</v>
      </c>
      <c r="C1158">
        <v>32</v>
      </c>
      <c r="D1158" s="1">
        <v>4142</v>
      </c>
      <c r="E1158" s="1" t="s">
        <v>34</v>
      </c>
      <c r="F1158">
        <v>108</v>
      </c>
      <c r="G1158">
        <v>2</v>
      </c>
      <c r="I1158">
        <v>3</v>
      </c>
      <c r="J1158">
        <v>6.1</v>
      </c>
      <c r="K1158">
        <v>51</v>
      </c>
    </row>
    <row r="1159" spans="1:16" x14ac:dyDescent="0.3">
      <c r="A1159">
        <v>2023</v>
      </c>
      <c r="B1159">
        <v>280</v>
      </c>
      <c r="C1159">
        <v>33</v>
      </c>
      <c r="D1159" s="1">
        <v>4143</v>
      </c>
      <c r="E1159" s="1" t="s">
        <v>16</v>
      </c>
      <c r="F1159">
        <v>108</v>
      </c>
      <c r="G1159">
        <v>1</v>
      </c>
      <c r="J1159">
        <v>6.8</v>
      </c>
      <c r="K1159">
        <v>54</v>
      </c>
      <c r="P1159" t="s">
        <v>132</v>
      </c>
    </row>
    <row r="1160" spans="1:16" x14ac:dyDescent="0.3">
      <c r="A1160">
        <v>2023</v>
      </c>
      <c r="B1160">
        <v>280</v>
      </c>
      <c r="C1160">
        <v>34</v>
      </c>
      <c r="D1160" s="1">
        <v>4144</v>
      </c>
      <c r="E1160" s="1" t="s">
        <v>16</v>
      </c>
      <c r="F1160">
        <v>108</v>
      </c>
      <c r="G1160">
        <v>1</v>
      </c>
      <c r="J1160">
        <v>6.7</v>
      </c>
      <c r="K1160">
        <v>52</v>
      </c>
    </row>
    <row r="1161" spans="1:16" x14ac:dyDescent="0.3">
      <c r="A1161">
        <v>2023</v>
      </c>
      <c r="B1161">
        <v>280</v>
      </c>
      <c r="C1161">
        <v>35</v>
      </c>
      <c r="D1161" s="1">
        <v>4145</v>
      </c>
      <c r="E1161" s="1" t="s">
        <v>16</v>
      </c>
      <c r="F1161">
        <v>108</v>
      </c>
      <c r="G1161">
        <v>1</v>
      </c>
      <c r="J1161">
        <v>7.2</v>
      </c>
      <c r="K1161">
        <v>59</v>
      </c>
    </row>
    <row r="1162" spans="1:16" x14ac:dyDescent="0.3">
      <c r="A1162">
        <v>2023</v>
      </c>
      <c r="B1162">
        <v>280</v>
      </c>
      <c r="C1162">
        <v>36</v>
      </c>
      <c r="D1162" s="1">
        <v>4146</v>
      </c>
      <c r="E1162" s="1" t="s">
        <v>16</v>
      </c>
      <c r="F1162">
        <v>108</v>
      </c>
      <c r="G1162">
        <v>1</v>
      </c>
      <c r="J1162">
        <v>7.1</v>
      </c>
      <c r="K1162">
        <v>60</v>
      </c>
    </row>
    <row r="1163" spans="1:16" x14ac:dyDescent="0.3">
      <c r="A1163">
        <v>2023</v>
      </c>
      <c r="B1163">
        <v>280</v>
      </c>
      <c r="C1163">
        <v>37</v>
      </c>
      <c r="D1163" s="1">
        <v>4147</v>
      </c>
      <c r="E1163" s="1" t="s">
        <v>16</v>
      </c>
      <c r="F1163">
        <v>108</v>
      </c>
      <c r="G1163">
        <v>1</v>
      </c>
      <c r="J1163">
        <v>5.8</v>
      </c>
      <c r="K1163">
        <v>53</v>
      </c>
    </row>
    <row r="1164" spans="1:16" x14ac:dyDescent="0.3">
      <c r="A1164">
        <v>2023</v>
      </c>
      <c r="B1164">
        <v>280</v>
      </c>
      <c r="C1164">
        <v>38</v>
      </c>
      <c r="D1164" s="1">
        <v>4148</v>
      </c>
      <c r="E1164" s="1" t="s">
        <v>16</v>
      </c>
      <c r="F1164">
        <v>108</v>
      </c>
      <c r="G1164">
        <v>1</v>
      </c>
      <c r="J1164">
        <v>5.8</v>
      </c>
      <c r="K1164">
        <v>56</v>
      </c>
    </row>
    <row r="1165" spans="1:16" x14ac:dyDescent="0.3">
      <c r="A1165">
        <v>2023</v>
      </c>
      <c r="B1165">
        <v>280</v>
      </c>
      <c r="C1165">
        <v>39</v>
      </c>
      <c r="D1165" s="1">
        <v>4149</v>
      </c>
      <c r="E1165" s="1" t="s">
        <v>16</v>
      </c>
      <c r="F1165">
        <v>108</v>
      </c>
      <c r="G1165">
        <v>1</v>
      </c>
      <c r="J1165">
        <v>7</v>
      </c>
      <c r="K1165">
        <v>60</v>
      </c>
    </row>
    <row r="1166" spans="1:16" x14ac:dyDescent="0.3">
      <c r="A1166">
        <v>2023</v>
      </c>
      <c r="B1166">
        <v>280</v>
      </c>
      <c r="C1166">
        <v>40</v>
      </c>
      <c r="D1166" s="1">
        <v>4150</v>
      </c>
      <c r="E1166" s="1" t="s">
        <v>24</v>
      </c>
      <c r="F1166">
        <v>108</v>
      </c>
      <c r="G1166">
        <v>0</v>
      </c>
      <c r="H1166" t="s">
        <v>89</v>
      </c>
      <c r="P1166" t="s">
        <v>125</v>
      </c>
    </row>
    <row r="1167" spans="1:16" x14ac:dyDescent="0.3">
      <c r="A1167">
        <v>2023</v>
      </c>
      <c r="B1167">
        <v>280</v>
      </c>
      <c r="C1167">
        <v>41</v>
      </c>
      <c r="D1167" s="1">
        <v>4151</v>
      </c>
      <c r="E1167" s="1" t="s">
        <v>24</v>
      </c>
      <c r="F1167">
        <v>108</v>
      </c>
      <c r="G1167">
        <v>0</v>
      </c>
      <c r="H1167" t="s">
        <v>89</v>
      </c>
      <c r="P1167" t="s">
        <v>125</v>
      </c>
    </row>
    <row r="1168" spans="1:16" x14ac:dyDescent="0.3">
      <c r="A1168">
        <v>2023</v>
      </c>
      <c r="B1168">
        <v>280</v>
      </c>
      <c r="C1168">
        <v>42</v>
      </c>
      <c r="D1168" s="1">
        <v>4152</v>
      </c>
      <c r="E1168" s="1" t="s">
        <v>16</v>
      </c>
      <c r="F1168">
        <v>108</v>
      </c>
      <c r="G1168">
        <v>1</v>
      </c>
      <c r="J1168">
        <v>3.3</v>
      </c>
    </row>
    <row r="1169" spans="1:16" x14ac:dyDescent="0.3">
      <c r="A1169">
        <v>2023</v>
      </c>
      <c r="B1169">
        <v>280</v>
      </c>
      <c r="C1169">
        <v>43</v>
      </c>
      <c r="D1169" s="1">
        <v>4153</v>
      </c>
      <c r="E1169" s="1" t="s">
        <v>16</v>
      </c>
      <c r="F1169">
        <v>108</v>
      </c>
      <c r="G1169">
        <v>1</v>
      </c>
      <c r="J1169">
        <v>4.5</v>
      </c>
      <c r="P1169" t="s">
        <v>133</v>
      </c>
    </row>
    <row r="1170" spans="1:16" x14ac:dyDescent="0.3">
      <c r="A1170">
        <v>2023</v>
      </c>
      <c r="B1170">
        <v>280</v>
      </c>
      <c r="C1170">
        <v>44</v>
      </c>
      <c r="D1170" s="1">
        <v>4154</v>
      </c>
      <c r="E1170" s="1" t="s">
        <v>19</v>
      </c>
      <c r="F1170">
        <v>108</v>
      </c>
      <c r="G1170">
        <v>0</v>
      </c>
      <c r="H1170" t="s">
        <v>89</v>
      </c>
    </row>
    <row r="1171" spans="1:16" x14ac:dyDescent="0.3">
      <c r="A1171">
        <v>2023</v>
      </c>
      <c r="B1171">
        <v>281</v>
      </c>
      <c r="C1171">
        <v>1</v>
      </c>
      <c r="D1171" s="1">
        <v>4155</v>
      </c>
      <c r="E1171" s="1" t="s">
        <v>19</v>
      </c>
      <c r="F1171">
        <v>108</v>
      </c>
      <c r="G1171">
        <v>0</v>
      </c>
      <c r="H1171" t="s">
        <v>89</v>
      </c>
    </row>
    <row r="1172" spans="1:16" x14ac:dyDescent="0.3">
      <c r="A1172">
        <v>2023</v>
      </c>
      <c r="B1172">
        <v>281</v>
      </c>
      <c r="C1172">
        <v>2</v>
      </c>
      <c r="D1172" s="1">
        <v>4156</v>
      </c>
      <c r="E1172" s="1" t="s">
        <v>24</v>
      </c>
      <c r="F1172">
        <v>108</v>
      </c>
      <c r="G1172">
        <v>0</v>
      </c>
      <c r="H1172" t="s">
        <v>89</v>
      </c>
    </row>
    <row r="1173" spans="1:16" x14ac:dyDescent="0.3">
      <c r="A1173">
        <v>2023</v>
      </c>
      <c r="B1173">
        <v>281</v>
      </c>
      <c r="C1173">
        <v>3</v>
      </c>
      <c r="D1173" s="1">
        <v>4157</v>
      </c>
      <c r="E1173" s="1" t="s">
        <v>24</v>
      </c>
      <c r="F1173">
        <v>108</v>
      </c>
      <c r="G1173">
        <v>0</v>
      </c>
      <c r="H1173" t="s">
        <v>89</v>
      </c>
    </row>
    <row r="1174" spans="1:16" x14ac:dyDescent="0.3">
      <c r="A1174">
        <v>2023</v>
      </c>
      <c r="B1174">
        <v>281</v>
      </c>
      <c r="C1174">
        <v>4</v>
      </c>
      <c r="D1174" s="1">
        <v>4158</v>
      </c>
      <c r="E1174" s="1" t="s">
        <v>34</v>
      </c>
      <c r="F1174">
        <v>108</v>
      </c>
      <c r="G1174">
        <v>2</v>
      </c>
      <c r="I1174">
        <v>1</v>
      </c>
      <c r="J1174">
        <v>10.8</v>
      </c>
      <c r="K1174">
        <v>66</v>
      </c>
    </row>
    <row r="1175" spans="1:16" x14ac:dyDescent="0.3">
      <c r="A1175">
        <v>2023</v>
      </c>
      <c r="B1175">
        <v>281</v>
      </c>
      <c r="C1175">
        <v>5</v>
      </c>
      <c r="D1175" s="1">
        <v>4159</v>
      </c>
      <c r="E1175" s="1" t="s">
        <v>34</v>
      </c>
      <c r="F1175">
        <v>108</v>
      </c>
      <c r="G1175">
        <v>2</v>
      </c>
      <c r="I1175">
        <v>1</v>
      </c>
      <c r="J1175">
        <v>11.1</v>
      </c>
      <c r="K1175">
        <v>70</v>
      </c>
    </row>
    <row r="1176" spans="1:16" x14ac:dyDescent="0.3">
      <c r="A1176">
        <v>2023</v>
      </c>
      <c r="B1176">
        <v>281</v>
      </c>
      <c r="C1176">
        <v>6</v>
      </c>
      <c r="D1176" s="1">
        <v>4160</v>
      </c>
      <c r="E1176" s="1" t="s">
        <v>16</v>
      </c>
      <c r="F1176">
        <v>108</v>
      </c>
      <c r="G1176">
        <v>1</v>
      </c>
      <c r="J1176">
        <v>8.1999999999999993</v>
      </c>
      <c r="K1176">
        <v>52</v>
      </c>
    </row>
    <row r="1177" spans="1:16" x14ac:dyDescent="0.3">
      <c r="A1177">
        <v>2023</v>
      </c>
      <c r="B1177">
        <v>281</v>
      </c>
      <c r="C1177">
        <v>7</v>
      </c>
      <c r="D1177" s="1">
        <v>4161</v>
      </c>
      <c r="E1177" s="1" t="s">
        <v>16</v>
      </c>
      <c r="F1177">
        <v>73</v>
      </c>
      <c r="G1177">
        <v>1</v>
      </c>
      <c r="J1177">
        <v>9</v>
      </c>
      <c r="K1177">
        <v>48</v>
      </c>
    </row>
    <row r="1178" spans="1:16" x14ac:dyDescent="0.3">
      <c r="A1178">
        <v>2023</v>
      </c>
      <c r="B1178">
        <v>281</v>
      </c>
      <c r="C1178">
        <v>8</v>
      </c>
      <c r="D1178" s="1">
        <v>4162</v>
      </c>
      <c r="E1178" s="1" t="s">
        <v>34</v>
      </c>
      <c r="F1178">
        <v>108</v>
      </c>
      <c r="G1178">
        <v>2</v>
      </c>
      <c r="I1178">
        <v>1</v>
      </c>
      <c r="J1178">
        <v>10.5</v>
      </c>
      <c r="K1178">
        <v>64</v>
      </c>
    </row>
    <row r="1179" spans="1:16" x14ac:dyDescent="0.3">
      <c r="A1179">
        <v>2023</v>
      </c>
      <c r="B1179">
        <v>281</v>
      </c>
      <c r="C1179">
        <v>9</v>
      </c>
      <c r="D1179" s="1">
        <v>4163</v>
      </c>
      <c r="E1179" s="1" t="s">
        <v>16</v>
      </c>
      <c r="F1179">
        <v>108</v>
      </c>
      <c r="G1179">
        <v>1</v>
      </c>
      <c r="J1179">
        <v>10.4</v>
      </c>
      <c r="K1179">
        <v>71</v>
      </c>
    </row>
    <row r="1180" spans="1:16" x14ac:dyDescent="0.3">
      <c r="A1180">
        <v>2023</v>
      </c>
      <c r="B1180">
        <v>281</v>
      </c>
      <c r="C1180">
        <v>10</v>
      </c>
      <c r="D1180" s="1">
        <v>4164</v>
      </c>
      <c r="E1180" s="1" t="s">
        <v>34</v>
      </c>
      <c r="F1180">
        <v>108</v>
      </c>
      <c r="G1180">
        <v>2</v>
      </c>
      <c r="I1180">
        <v>2</v>
      </c>
      <c r="J1180">
        <v>11.8</v>
      </c>
      <c r="K1180">
        <v>67</v>
      </c>
    </row>
    <row r="1181" spans="1:16" x14ac:dyDescent="0.3">
      <c r="A1181">
        <v>2023</v>
      </c>
      <c r="B1181">
        <v>281</v>
      </c>
      <c r="C1181">
        <v>11</v>
      </c>
      <c r="D1181" s="1">
        <v>4165</v>
      </c>
      <c r="E1181" s="1" t="s">
        <v>34</v>
      </c>
      <c r="F1181">
        <v>108</v>
      </c>
      <c r="G1181">
        <v>2</v>
      </c>
      <c r="I1181">
        <v>2</v>
      </c>
      <c r="J1181">
        <v>11.1</v>
      </c>
      <c r="K1181">
        <v>68</v>
      </c>
    </row>
    <row r="1182" spans="1:16" x14ac:dyDescent="0.3">
      <c r="A1182">
        <v>2023</v>
      </c>
      <c r="B1182">
        <v>281</v>
      </c>
      <c r="C1182">
        <v>12</v>
      </c>
      <c r="D1182" s="1">
        <v>4166</v>
      </c>
      <c r="E1182" s="1" t="s">
        <v>34</v>
      </c>
      <c r="F1182">
        <v>108</v>
      </c>
      <c r="G1182">
        <v>2</v>
      </c>
      <c r="I1182">
        <v>2</v>
      </c>
      <c r="J1182">
        <v>12.8</v>
      </c>
      <c r="K1182">
        <v>62</v>
      </c>
    </row>
    <row r="1183" spans="1:16" x14ac:dyDescent="0.3">
      <c r="A1183">
        <v>2023</v>
      </c>
      <c r="B1183">
        <v>281</v>
      </c>
      <c r="C1183">
        <v>13</v>
      </c>
      <c r="D1183" s="1">
        <v>4167</v>
      </c>
      <c r="E1183" s="1" t="s">
        <v>16</v>
      </c>
      <c r="F1183">
        <v>108</v>
      </c>
      <c r="G1183">
        <v>1</v>
      </c>
      <c r="J1183">
        <v>10.4</v>
      </c>
      <c r="K1183">
        <v>69</v>
      </c>
    </row>
    <row r="1184" spans="1:16" x14ac:dyDescent="0.3">
      <c r="A1184">
        <v>2023</v>
      </c>
      <c r="B1184">
        <v>281</v>
      </c>
      <c r="C1184">
        <v>14</v>
      </c>
      <c r="D1184" s="1">
        <v>4168</v>
      </c>
      <c r="E1184" s="1" t="s">
        <v>16</v>
      </c>
      <c r="F1184">
        <v>108</v>
      </c>
      <c r="G1184">
        <v>1</v>
      </c>
      <c r="J1184">
        <v>9.4</v>
      </c>
      <c r="K1184">
        <v>64</v>
      </c>
    </row>
    <row r="1185" spans="1:16" x14ac:dyDescent="0.3">
      <c r="A1185">
        <v>2023</v>
      </c>
      <c r="B1185">
        <v>281</v>
      </c>
      <c r="C1185">
        <v>15</v>
      </c>
      <c r="D1185" s="1">
        <v>4169</v>
      </c>
      <c r="E1185" s="1" t="s">
        <v>34</v>
      </c>
      <c r="F1185">
        <v>108</v>
      </c>
      <c r="G1185">
        <v>2</v>
      </c>
      <c r="I1185">
        <v>3</v>
      </c>
      <c r="J1185">
        <v>14.6</v>
      </c>
      <c r="K1185">
        <v>62</v>
      </c>
    </row>
    <row r="1186" spans="1:16" x14ac:dyDescent="0.3">
      <c r="A1186">
        <v>2023</v>
      </c>
      <c r="B1186">
        <v>281</v>
      </c>
      <c r="C1186">
        <v>16</v>
      </c>
      <c r="D1186" s="1">
        <v>4652</v>
      </c>
      <c r="E1186" s="1" t="s">
        <v>97</v>
      </c>
      <c r="F1186">
        <v>202</v>
      </c>
      <c r="G1186">
        <v>1</v>
      </c>
      <c r="H1186" t="s">
        <v>98</v>
      </c>
      <c r="J1186">
        <v>5.9</v>
      </c>
      <c r="K1186">
        <v>28</v>
      </c>
    </row>
    <row r="1187" spans="1:16" x14ac:dyDescent="0.3">
      <c r="A1187">
        <v>2023</v>
      </c>
      <c r="B1187">
        <v>281</v>
      </c>
      <c r="C1187">
        <v>17</v>
      </c>
      <c r="D1187" s="1">
        <v>4653</v>
      </c>
      <c r="E1187" s="1" t="s">
        <v>97</v>
      </c>
      <c r="F1187">
        <v>202</v>
      </c>
      <c r="G1187">
        <v>1</v>
      </c>
      <c r="H1187" t="s">
        <v>98</v>
      </c>
      <c r="J1187">
        <v>5.2</v>
      </c>
      <c r="K1187">
        <v>25</v>
      </c>
    </row>
    <row r="1188" spans="1:16" x14ac:dyDescent="0.3">
      <c r="A1188">
        <v>2023</v>
      </c>
      <c r="B1188">
        <v>283</v>
      </c>
      <c r="C1188">
        <v>1</v>
      </c>
      <c r="D1188" s="1">
        <v>4170</v>
      </c>
      <c r="E1188" s="1" t="s">
        <v>24</v>
      </c>
      <c r="F1188">
        <v>108</v>
      </c>
      <c r="G1188">
        <v>0</v>
      </c>
      <c r="H1188" t="s">
        <v>89</v>
      </c>
    </row>
    <row r="1189" spans="1:16" x14ac:dyDescent="0.3">
      <c r="A1189">
        <v>2023</v>
      </c>
      <c r="B1189">
        <v>283</v>
      </c>
      <c r="C1189">
        <v>2</v>
      </c>
      <c r="D1189" s="1">
        <v>4171</v>
      </c>
      <c r="E1189" s="1" t="s">
        <v>16</v>
      </c>
      <c r="F1189">
        <v>108</v>
      </c>
      <c r="G1189">
        <v>1</v>
      </c>
      <c r="J1189">
        <v>7</v>
      </c>
      <c r="K1189">
        <v>50</v>
      </c>
    </row>
    <row r="1190" spans="1:16" x14ac:dyDescent="0.3">
      <c r="A1190">
        <v>2023</v>
      </c>
      <c r="B1190">
        <v>283</v>
      </c>
      <c r="C1190">
        <v>3</v>
      </c>
      <c r="D1190" s="1">
        <v>4172</v>
      </c>
      <c r="E1190" s="1" t="s">
        <v>16</v>
      </c>
      <c r="F1190">
        <v>108</v>
      </c>
      <c r="G1190">
        <v>1</v>
      </c>
      <c r="J1190">
        <v>6.1</v>
      </c>
      <c r="K1190">
        <v>46</v>
      </c>
    </row>
    <row r="1191" spans="1:16" x14ac:dyDescent="0.3">
      <c r="A1191">
        <v>2023</v>
      </c>
      <c r="B1191">
        <v>283</v>
      </c>
      <c r="C1191">
        <v>4</v>
      </c>
      <c r="D1191" s="1">
        <v>4173</v>
      </c>
      <c r="E1191" s="1" t="s">
        <v>24</v>
      </c>
      <c r="F1191">
        <v>108</v>
      </c>
      <c r="G1191">
        <v>0</v>
      </c>
      <c r="H1191" t="s">
        <v>89</v>
      </c>
    </row>
    <row r="1192" spans="1:16" x14ac:dyDescent="0.3">
      <c r="A1192">
        <v>2023</v>
      </c>
      <c r="B1192">
        <v>283</v>
      </c>
      <c r="C1192">
        <v>5</v>
      </c>
      <c r="D1192" s="1">
        <v>4174</v>
      </c>
      <c r="E1192" s="1" t="s">
        <v>34</v>
      </c>
      <c r="F1192">
        <v>108</v>
      </c>
      <c r="G1192">
        <v>2</v>
      </c>
      <c r="I1192">
        <v>2</v>
      </c>
      <c r="J1192">
        <v>6.5</v>
      </c>
      <c r="K1192">
        <v>42</v>
      </c>
    </row>
    <row r="1193" spans="1:16" x14ac:dyDescent="0.3">
      <c r="A1193">
        <v>2023</v>
      </c>
      <c r="B1193">
        <v>283</v>
      </c>
      <c r="C1193">
        <v>6</v>
      </c>
      <c r="D1193" s="1">
        <v>4175</v>
      </c>
      <c r="E1193" s="1" t="s">
        <v>24</v>
      </c>
      <c r="F1193">
        <v>108</v>
      </c>
      <c r="G1193">
        <v>0</v>
      </c>
      <c r="H1193" t="s">
        <v>89</v>
      </c>
      <c r="P1193" t="s">
        <v>134</v>
      </c>
    </row>
    <row r="1194" spans="1:16" x14ac:dyDescent="0.3">
      <c r="A1194">
        <v>2023</v>
      </c>
      <c r="B1194">
        <v>283</v>
      </c>
      <c r="C1194">
        <v>7</v>
      </c>
      <c r="D1194" s="1">
        <v>4176</v>
      </c>
      <c r="E1194" s="1" t="s">
        <v>16</v>
      </c>
      <c r="F1194">
        <v>108</v>
      </c>
      <c r="G1194">
        <v>1</v>
      </c>
      <c r="J1194">
        <v>6</v>
      </c>
      <c r="K1194">
        <v>44</v>
      </c>
    </row>
    <row r="1195" spans="1:16" x14ac:dyDescent="0.3">
      <c r="A1195">
        <v>2023</v>
      </c>
      <c r="B1195">
        <v>283</v>
      </c>
      <c r="C1195">
        <v>8</v>
      </c>
      <c r="D1195" s="1">
        <v>4177</v>
      </c>
      <c r="E1195" s="1" t="s">
        <v>24</v>
      </c>
      <c r="F1195">
        <v>108</v>
      </c>
      <c r="G1195">
        <v>0</v>
      </c>
      <c r="H1195" t="s">
        <v>89</v>
      </c>
      <c r="P1195" t="s">
        <v>135</v>
      </c>
    </row>
    <row r="1196" spans="1:16" x14ac:dyDescent="0.3">
      <c r="A1196">
        <v>2023</v>
      </c>
      <c r="B1196">
        <v>283</v>
      </c>
      <c r="C1196">
        <v>9</v>
      </c>
      <c r="D1196" s="1">
        <v>4178</v>
      </c>
      <c r="E1196" s="1" t="s">
        <v>16</v>
      </c>
      <c r="F1196">
        <v>108</v>
      </c>
      <c r="G1196">
        <v>1</v>
      </c>
      <c r="J1196">
        <v>9.8000000000000007</v>
      </c>
      <c r="K1196">
        <v>40</v>
      </c>
    </row>
    <row r="1197" spans="1:16" x14ac:dyDescent="0.3">
      <c r="A1197">
        <v>2023</v>
      </c>
      <c r="B1197">
        <v>283</v>
      </c>
      <c r="C1197">
        <v>10</v>
      </c>
      <c r="D1197" s="1">
        <v>4179</v>
      </c>
      <c r="E1197" s="1" t="s">
        <v>16</v>
      </c>
      <c r="F1197">
        <v>108</v>
      </c>
      <c r="G1197">
        <v>1</v>
      </c>
      <c r="J1197">
        <v>7.4</v>
      </c>
      <c r="K1197">
        <v>54</v>
      </c>
    </row>
    <row r="1198" spans="1:16" x14ac:dyDescent="0.3">
      <c r="A1198">
        <v>2023</v>
      </c>
      <c r="B1198">
        <v>283</v>
      </c>
      <c r="C1198">
        <v>11</v>
      </c>
      <c r="D1198" s="1">
        <v>4180</v>
      </c>
      <c r="E1198" s="1" t="s">
        <v>16</v>
      </c>
      <c r="F1198">
        <v>108</v>
      </c>
      <c r="G1198">
        <v>1</v>
      </c>
      <c r="J1198">
        <v>7.3</v>
      </c>
      <c r="K1198">
        <v>53</v>
      </c>
    </row>
    <row r="1199" spans="1:16" x14ac:dyDescent="0.3">
      <c r="A1199">
        <v>2023</v>
      </c>
      <c r="B1199">
        <v>283</v>
      </c>
      <c r="C1199">
        <v>12</v>
      </c>
      <c r="D1199" s="1">
        <v>4181</v>
      </c>
      <c r="E1199" s="1" t="s">
        <v>16</v>
      </c>
      <c r="F1199">
        <v>108</v>
      </c>
      <c r="G1199">
        <v>1</v>
      </c>
      <c r="J1199">
        <v>8.6999999999999993</v>
      </c>
      <c r="K1199">
        <v>57</v>
      </c>
    </row>
    <row r="1200" spans="1:16" x14ac:dyDescent="0.3">
      <c r="A1200">
        <v>2023</v>
      </c>
      <c r="B1200">
        <v>283</v>
      </c>
      <c r="C1200">
        <v>13</v>
      </c>
      <c r="D1200" s="1">
        <v>4182</v>
      </c>
      <c r="E1200" s="1" t="s">
        <v>16</v>
      </c>
      <c r="F1200">
        <v>108</v>
      </c>
      <c r="G1200">
        <v>1</v>
      </c>
      <c r="J1200">
        <v>6.5</v>
      </c>
      <c r="K1200">
        <v>53</v>
      </c>
    </row>
    <row r="1201" spans="1:11" x14ac:dyDescent="0.3">
      <c r="A1201">
        <v>2023</v>
      </c>
      <c r="B1201">
        <v>283</v>
      </c>
      <c r="C1201">
        <v>14</v>
      </c>
      <c r="D1201" s="1">
        <v>4183</v>
      </c>
      <c r="E1201" s="1" t="s">
        <v>16</v>
      </c>
      <c r="F1201">
        <v>108</v>
      </c>
      <c r="G1201">
        <v>1</v>
      </c>
      <c r="J1201">
        <v>8.1999999999999993</v>
      </c>
      <c r="K1201">
        <v>52</v>
      </c>
    </row>
    <row r="1202" spans="1:11" x14ac:dyDescent="0.3">
      <c r="A1202">
        <v>2023</v>
      </c>
      <c r="B1202">
        <v>283</v>
      </c>
      <c r="C1202">
        <v>15</v>
      </c>
      <c r="D1202" s="1">
        <v>4184</v>
      </c>
      <c r="E1202" s="1" t="s">
        <v>16</v>
      </c>
      <c r="F1202">
        <v>108</v>
      </c>
      <c r="G1202">
        <v>1</v>
      </c>
      <c r="J1202">
        <v>8</v>
      </c>
      <c r="K1202">
        <v>51</v>
      </c>
    </row>
    <row r="1203" spans="1:11" x14ac:dyDescent="0.3">
      <c r="A1203">
        <v>2023</v>
      </c>
      <c r="B1203">
        <v>283</v>
      </c>
      <c r="C1203">
        <v>16</v>
      </c>
      <c r="D1203" s="1">
        <v>4654</v>
      </c>
      <c r="E1203" s="1" t="s">
        <v>97</v>
      </c>
      <c r="F1203">
        <v>108</v>
      </c>
      <c r="G1203">
        <v>1</v>
      </c>
      <c r="H1203" t="s">
        <v>98</v>
      </c>
      <c r="J1203">
        <v>5.0999999999999996</v>
      </c>
      <c r="K1203">
        <v>44</v>
      </c>
    </row>
    <row r="1204" spans="1:11" x14ac:dyDescent="0.3">
      <c r="A1204">
        <v>2023</v>
      </c>
      <c r="B1204">
        <v>283</v>
      </c>
      <c r="C1204">
        <v>17</v>
      </c>
      <c r="D1204" s="1">
        <v>4655</v>
      </c>
      <c r="E1204" s="1" t="s">
        <v>97</v>
      </c>
      <c r="F1204">
        <v>108</v>
      </c>
      <c r="G1204">
        <v>1</v>
      </c>
      <c r="H1204" t="s">
        <v>98</v>
      </c>
      <c r="J1204">
        <v>5.5</v>
      </c>
      <c r="K1204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9A59-4A9C-4CA1-9C23-3422AA9ABF3D}">
  <dimension ref="A1:P106"/>
  <sheetViews>
    <sheetView zoomScaleNormal="100" workbookViewId="0">
      <pane ySplit="4" topLeftCell="A5" activePane="bottomLeft" state="frozen"/>
      <selection pane="bottomLeft" activeCell="B31" sqref="B31"/>
    </sheetView>
  </sheetViews>
  <sheetFormatPr defaultColWidth="9.109375" defaultRowHeight="12.75" customHeight="1" x14ac:dyDescent="0.2"/>
  <cols>
    <col min="1" max="1" width="9.33203125" style="4" bestFit="1" customWidth="1"/>
    <col min="2" max="2" width="19.5546875" style="4" bestFit="1" customWidth="1"/>
    <col min="3" max="4" width="9.109375" style="4"/>
    <col min="5" max="5" width="0" style="4" hidden="1" customWidth="1"/>
    <col min="6" max="7" width="10.109375" style="4" customWidth="1"/>
    <col min="8" max="8" width="9.109375" style="4"/>
    <col min="9" max="9" width="11" style="4" bestFit="1" customWidth="1"/>
    <col min="10" max="10" width="9.33203125" style="4" bestFit="1" customWidth="1"/>
    <col min="11" max="11" width="9.109375" style="4"/>
    <col min="12" max="12" width="10.6640625" style="4" customWidth="1"/>
    <col min="13" max="13" width="10" style="4" bestFit="1" customWidth="1"/>
    <col min="14" max="15" width="9.109375" style="4"/>
    <col min="16" max="16" width="16.109375" style="4" bestFit="1" customWidth="1"/>
    <col min="17" max="16384" width="9.109375" style="4"/>
  </cols>
  <sheetData>
    <row r="1" spans="1:16" ht="12.75" customHeight="1" thickBot="1" x14ac:dyDescent="0.25"/>
    <row r="2" spans="1:16" ht="12.75" customHeight="1" thickBot="1" x14ac:dyDescent="0.35">
      <c r="A2" s="5" t="s">
        <v>136</v>
      </c>
      <c r="B2" s="5" t="s">
        <v>5</v>
      </c>
      <c r="D2" s="6"/>
      <c r="E2" s="6"/>
      <c r="F2" s="7" t="s">
        <v>137</v>
      </c>
      <c r="G2" s="8"/>
      <c r="I2" s="9" t="s">
        <v>138</v>
      </c>
      <c r="J2" s="10">
        <f>SQRT(SUMSQ(J5:J29))</f>
        <v>0</v>
      </c>
    </row>
    <row r="3" spans="1:16" ht="12.75" customHeight="1" thickBot="1" x14ac:dyDescent="0.35">
      <c r="A3" s="11">
        <v>17</v>
      </c>
      <c r="B3" s="11" t="s">
        <v>139</v>
      </c>
      <c r="D3" s="6"/>
      <c r="E3" s="6"/>
      <c r="F3" s="12">
        <v>11.8</v>
      </c>
      <c r="G3" s="13">
        <v>37.200000000000003</v>
      </c>
      <c r="I3" s="14"/>
      <c r="J3" s="14"/>
      <c r="L3" s="15" t="s">
        <v>140</v>
      </c>
      <c r="M3" s="15"/>
      <c r="O3" s="15" t="s">
        <v>141</v>
      </c>
      <c r="P3" s="15"/>
    </row>
    <row r="4" spans="1:16" ht="12.75" customHeight="1" thickBot="1" x14ac:dyDescent="0.35">
      <c r="A4" s="16">
        <v>19</v>
      </c>
      <c r="B4" s="16" t="s">
        <v>142</v>
      </c>
      <c r="D4" s="17" t="s">
        <v>143</v>
      </c>
      <c r="E4" s="17" t="s">
        <v>144</v>
      </c>
      <c r="F4" s="18" t="s">
        <v>145</v>
      </c>
      <c r="G4" s="19"/>
      <c r="I4" s="20" t="s">
        <v>146</v>
      </c>
      <c r="J4" s="21" t="s">
        <v>147</v>
      </c>
      <c r="L4" s="22" t="s">
        <v>148</v>
      </c>
      <c r="M4" s="23" t="s">
        <v>149</v>
      </c>
      <c r="O4" s="22" t="s">
        <v>148</v>
      </c>
      <c r="P4" s="23" t="s">
        <v>149</v>
      </c>
    </row>
    <row r="5" spans="1:16" ht="12.75" customHeight="1" x14ac:dyDescent="0.3">
      <c r="A5" s="24">
        <v>66</v>
      </c>
      <c r="B5" s="24" t="s">
        <v>150</v>
      </c>
      <c r="D5" s="25">
        <v>1</v>
      </c>
      <c r="E5" s="26">
        <f>DEGREES(ATAN($D5/100))</f>
        <v>0.57293869768348593</v>
      </c>
      <c r="F5" s="27">
        <f>$F$3/COS(RADIANS(E5))</f>
        <v>11.800589985250738</v>
      </c>
      <c r="G5" s="28">
        <f>$G$3/COS(RADIANS(E5))</f>
        <v>37.201859953502328</v>
      </c>
      <c r="I5" s="29" t="s">
        <v>151</v>
      </c>
      <c r="J5" s="30"/>
      <c r="L5" s="31">
        <v>0</v>
      </c>
      <c r="M5" s="32" t="s">
        <v>152</v>
      </c>
      <c r="O5" s="31" t="s">
        <v>98</v>
      </c>
      <c r="P5" s="32" t="s">
        <v>153</v>
      </c>
    </row>
    <row r="6" spans="1:16" ht="12.75" customHeight="1" x14ac:dyDescent="0.3">
      <c r="A6" s="16">
        <v>73</v>
      </c>
      <c r="B6" s="16" t="s">
        <v>154</v>
      </c>
      <c r="D6" s="33">
        <v>2</v>
      </c>
      <c r="E6" s="34">
        <f>DEGREES(ATAN($D6/100))</f>
        <v>1.1457628381751035</v>
      </c>
      <c r="F6" s="35">
        <f>$F$3/COS(RADIANS(E6))</f>
        <v>11.802359764047189</v>
      </c>
      <c r="G6" s="36">
        <f>$G$3/COS(RADIANS(E6))</f>
        <v>37.207439256148767</v>
      </c>
      <c r="I6" s="37" t="s">
        <v>155</v>
      </c>
      <c r="J6" s="38"/>
      <c r="L6" s="31">
        <v>1</v>
      </c>
      <c r="M6" s="32" t="s">
        <v>156</v>
      </c>
      <c r="O6" s="31" t="s">
        <v>157</v>
      </c>
      <c r="P6" s="32" t="s">
        <v>158</v>
      </c>
    </row>
    <row r="7" spans="1:16" ht="12.75" customHeight="1" x14ac:dyDescent="0.3">
      <c r="A7" s="16">
        <v>93</v>
      </c>
      <c r="B7" s="16" t="s">
        <v>159</v>
      </c>
      <c r="D7" s="39">
        <v>3</v>
      </c>
      <c r="E7" s="26">
        <f>DEGREES(ATAN($D7/100))</f>
        <v>1.7183580016554572</v>
      </c>
      <c r="F7" s="40">
        <f>$F$3/COS(RADIANS(E7))</f>
        <v>11.805308805787336</v>
      </c>
      <c r="G7" s="41">
        <f>$G$3/COS(RADIANS(E7))</f>
        <v>37.216736235193977</v>
      </c>
      <c r="I7" s="42" t="s">
        <v>160</v>
      </c>
      <c r="J7" s="43"/>
      <c r="L7" s="31">
        <v>2</v>
      </c>
      <c r="M7" s="32" t="s">
        <v>161</v>
      </c>
      <c r="O7" s="31" t="s">
        <v>162</v>
      </c>
      <c r="P7" s="32" t="s">
        <v>163</v>
      </c>
    </row>
    <row r="8" spans="1:16" ht="12.75" customHeight="1" thickBot="1" x14ac:dyDescent="0.35">
      <c r="A8" s="16">
        <v>108</v>
      </c>
      <c r="B8" s="16" t="s">
        <v>164</v>
      </c>
      <c r="D8" s="33">
        <v>4</v>
      </c>
      <c r="E8" s="34">
        <f t="shared" ref="E8:E71" si="0">DEGREES(ATAN($D8/100))</f>
        <v>2.2906100426385296</v>
      </c>
      <c r="F8" s="35">
        <f t="shared" ref="F8:F71" si="1">$F$3/COS(RADIANS(E8))</f>
        <v>11.809436227017784</v>
      </c>
      <c r="G8" s="36">
        <f t="shared" ref="G8:G71" si="2">$G$3/COS(RADIANS(E8))</f>
        <v>37.229748105513693</v>
      </c>
      <c r="I8" s="37" t="s">
        <v>165</v>
      </c>
      <c r="J8" s="38"/>
      <c r="L8" s="44">
        <v>3</v>
      </c>
      <c r="M8" s="45" t="s">
        <v>166</v>
      </c>
      <c r="O8" s="31" t="s">
        <v>167</v>
      </c>
      <c r="P8" s="32" t="s">
        <v>168</v>
      </c>
    </row>
    <row r="9" spans="1:16" ht="12.75" customHeight="1" x14ac:dyDescent="0.3">
      <c r="A9" s="16">
        <v>119</v>
      </c>
      <c r="B9" s="16" t="s">
        <v>169</v>
      </c>
      <c r="D9" s="39">
        <v>5</v>
      </c>
      <c r="E9" s="26">
        <f t="shared" si="0"/>
        <v>2.8624052261117479</v>
      </c>
      <c r="F9" s="40">
        <f t="shared" si="1"/>
        <v>11.814740792755465</v>
      </c>
      <c r="G9" s="41">
        <f t="shared" si="2"/>
        <v>37.246470973771466</v>
      </c>
      <c r="I9" s="42" t="s">
        <v>170</v>
      </c>
      <c r="J9" s="43"/>
      <c r="O9" s="31" t="s">
        <v>171</v>
      </c>
      <c r="P9" s="32" t="s">
        <v>172</v>
      </c>
    </row>
    <row r="10" spans="1:16" ht="12.75" customHeight="1" x14ac:dyDescent="0.3">
      <c r="A10" s="16">
        <v>122</v>
      </c>
      <c r="B10" s="16" t="s">
        <v>173</v>
      </c>
      <c r="D10" s="33">
        <v>6</v>
      </c>
      <c r="E10" s="34">
        <f t="shared" si="0"/>
        <v>3.433630362450522</v>
      </c>
      <c r="F10" s="35">
        <f t="shared" si="1"/>
        <v>11.821220918331575</v>
      </c>
      <c r="G10" s="36">
        <f t="shared" si="2"/>
        <v>37.266899844231745</v>
      </c>
      <c r="I10" s="37" t="s">
        <v>174</v>
      </c>
      <c r="J10" s="38"/>
      <c r="O10" s="31" t="s">
        <v>89</v>
      </c>
      <c r="P10" s="32" t="s">
        <v>175</v>
      </c>
    </row>
    <row r="11" spans="1:16" ht="12.75" customHeight="1" x14ac:dyDescent="0.3">
      <c r="A11" s="16">
        <v>202</v>
      </c>
      <c r="B11" s="16" t="s">
        <v>176</v>
      </c>
      <c r="D11" s="39">
        <v>7</v>
      </c>
      <c r="E11" s="26">
        <f t="shared" si="0"/>
        <v>4.0041729407093882</v>
      </c>
      <c r="F11" s="40">
        <f t="shared" si="1"/>
        <v>11.828874671751326</v>
      </c>
      <c r="G11" s="41">
        <f t="shared" si="2"/>
        <v>37.291028626199093</v>
      </c>
      <c r="I11" s="42" t="s">
        <v>177</v>
      </c>
      <c r="J11" s="43"/>
      <c r="O11" s="31" t="s">
        <v>93</v>
      </c>
      <c r="P11" s="32" t="s">
        <v>178</v>
      </c>
    </row>
    <row r="12" spans="1:16" ht="12.75" customHeight="1" thickBot="1" x14ac:dyDescent="0.35">
      <c r="A12" s="46">
        <v>299</v>
      </c>
      <c r="B12" s="46" t="s">
        <v>179</v>
      </c>
      <c r="D12" s="33">
        <v>8</v>
      </c>
      <c r="E12" s="34">
        <f t="shared" si="0"/>
        <v>4.5739212599008612</v>
      </c>
      <c r="F12" s="35">
        <f t="shared" si="1"/>
        <v>11.837699776561324</v>
      </c>
      <c r="G12" s="36">
        <f t="shared" si="2"/>
        <v>37.318850143057738</v>
      </c>
      <c r="I12" s="37" t="s">
        <v>180</v>
      </c>
      <c r="J12" s="38"/>
      <c r="O12" s="44" t="s">
        <v>181</v>
      </c>
      <c r="P12" s="45" t="s">
        <v>182</v>
      </c>
    </row>
    <row r="13" spans="1:16" ht="12.75" customHeight="1" x14ac:dyDescent="0.3">
      <c r="A13" s="24">
        <v>321</v>
      </c>
      <c r="B13" s="24" t="s">
        <v>183</v>
      </c>
      <c r="D13" s="39">
        <v>9</v>
      </c>
      <c r="E13" s="26">
        <f t="shared" si="0"/>
        <v>5.1427645578842416</v>
      </c>
      <c r="F13" s="40">
        <f t="shared" si="1"/>
        <v>11.847693615214736</v>
      </c>
      <c r="G13" s="41">
        <f t="shared" si="2"/>
        <v>37.350356142880351</v>
      </c>
      <c r="I13" s="42" t="s">
        <v>184</v>
      </c>
      <c r="J13" s="43"/>
    </row>
    <row r="14" spans="1:16" ht="12.75" customHeight="1" x14ac:dyDescent="0.3">
      <c r="A14" s="16">
        <v>350</v>
      </c>
      <c r="B14" s="16" t="s">
        <v>185</v>
      </c>
      <c r="D14" s="33">
        <v>10</v>
      </c>
      <c r="E14" s="34">
        <f t="shared" si="0"/>
        <v>5.710593137499643</v>
      </c>
      <c r="F14" s="35">
        <f t="shared" si="1"/>
        <v>11.858853232922652</v>
      </c>
      <c r="G14" s="36">
        <f t="shared" si="2"/>
        <v>37.385537310569717</v>
      </c>
      <c r="I14" s="37" t="s">
        <v>186</v>
      </c>
      <c r="J14" s="38"/>
    </row>
    <row r="15" spans="1:16" ht="12.75" customHeight="1" x14ac:dyDescent="0.3">
      <c r="A15" s="46">
        <v>374</v>
      </c>
      <c r="B15" s="46" t="s">
        <v>187</v>
      </c>
      <c r="D15" s="39">
        <v>11</v>
      </c>
      <c r="E15" s="26">
        <f t="shared" si="0"/>
        <v>6.2772984895975545</v>
      </c>
      <c r="F15" s="40">
        <f t="shared" si="1"/>
        <v>11.871175341978569</v>
      </c>
      <c r="G15" s="41">
        <f t="shared" si="2"/>
        <v>37.424383281491764</v>
      </c>
      <c r="I15" s="42" t="s">
        <v>188</v>
      </c>
      <c r="J15" s="43"/>
    </row>
    <row r="16" spans="1:16" ht="12.75" customHeight="1" x14ac:dyDescent="0.3">
      <c r="A16" s="46">
        <v>375</v>
      </c>
      <c r="B16" s="46" t="s">
        <v>189</v>
      </c>
      <c r="D16" s="33">
        <v>12</v>
      </c>
      <c r="E16" s="34">
        <f t="shared" si="0"/>
        <v>6.8427734126309403</v>
      </c>
      <c r="F16" s="35">
        <f t="shared" si="1"/>
        <v>11.884656326541378</v>
      </c>
      <c r="G16" s="36">
        <f t="shared" si="2"/>
        <v>37.466882656554176</v>
      </c>
      <c r="I16" s="37" t="s">
        <v>190</v>
      </c>
      <c r="J16" s="38"/>
    </row>
    <row r="17" spans="1:10" ht="12.75" customHeight="1" x14ac:dyDescent="0.3">
      <c r="A17" s="16">
        <v>743</v>
      </c>
      <c r="B17" s="16" t="s">
        <v>191</v>
      </c>
      <c r="D17" s="39">
        <v>13</v>
      </c>
      <c r="E17" s="26">
        <f t="shared" si="0"/>
        <v>7.4069121284952297</v>
      </c>
      <c r="F17" s="40">
        <f t="shared" si="1"/>
        <v>11.899292247860796</v>
      </c>
      <c r="G17" s="41">
        <f t="shared" si="2"/>
        <v>37.513023018679796</v>
      </c>
      <c r="I17" s="42" t="s">
        <v>192</v>
      </c>
      <c r="J17" s="43"/>
    </row>
    <row r="18" spans="1:10" ht="12.75" customHeight="1" x14ac:dyDescent="0.3">
      <c r="A18" s="16">
        <v>746</v>
      </c>
      <c r="B18" s="16" t="s">
        <v>193</v>
      </c>
      <c r="D18" s="33">
        <v>14</v>
      </c>
      <c r="E18" s="34">
        <f t="shared" si="0"/>
        <v>7.9696103943213599</v>
      </c>
      <c r="F18" s="35">
        <f t="shared" si="1"/>
        <v>11.915078849927935</v>
      </c>
      <c r="G18" s="36">
        <f t="shared" si="2"/>
        <v>37.562790950620268</v>
      </c>
      <c r="I18" s="37" t="s">
        <v>194</v>
      </c>
      <c r="J18" s="38"/>
    </row>
    <row r="19" spans="1:10" ht="12.75" customHeight="1" x14ac:dyDescent="0.3">
      <c r="A19" s="16">
        <v>747</v>
      </c>
      <c r="B19" s="16" t="s">
        <v>195</v>
      </c>
      <c r="D19" s="39">
        <v>15</v>
      </c>
      <c r="E19" s="26">
        <f t="shared" si="0"/>
        <v>8.5307656099481335</v>
      </c>
      <c r="F19" s="40">
        <f t="shared" si="1"/>
        <v>11.932011565532445</v>
      </c>
      <c r="G19" s="41">
        <f t="shared" si="2"/>
        <v>37.616172054051439</v>
      </c>
      <c r="I19" s="42" t="s">
        <v>196</v>
      </c>
      <c r="J19" s="43"/>
    </row>
    <row r="20" spans="1:10" ht="12.75" customHeight="1" x14ac:dyDescent="0.3">
      <c r="A20" s="16">
        <v>920</v>
      </c>
      <c r="B20" s="16" t="s">
        <v>197</v>
      </c>
      <c r="D20" s="33">
        <v>16</v>
      </c>
      <c r="E20" s="34">
        <f t="shared" si="0"/>
        <v>9.0902769208223226</v>
      </c>
      <c r="F20" s="35">
        <f t="shared" si="1"/>
        <v>11.950085522706521</v>
      </c>
      <c r="G20" s="36">
        <f t="shared" si="2"/>
        <v>37.673150969888361</v>
      </c>
      <c r="I20" s="37" t="s">
        <v>198</v>
      </c>
      <c r="J20" s="38"/>
    </row>
    <row r="21" spans="1:10" ht="12.75" customHeight="1" x14ac:dyDescent="0.3">
      <c r="A21" s="16">
        <v>998</v>
      </c>
      <c r="B21" s="16" t="s">
        <v>199</v>
      </c>
      <c r="D21" s="39">
        <v>17</v>
      </c>
      <c r="E21" s="26">
        <f t="shared" si="0"/>
        <v>9.6480453160981572</v>
      </c>
      <c r="F21" s="40">
        <f t="shared" si="1"/>
        <v>11.969295551535186</v>
      </c>
      <c r="G21" s="41">
        <f t="shared" si="2"/>
        <v>37.733711399754995</v>
      </c>
      <c r="I21" s="42" t="s">
        <v>200</v>
      </c>
      <c r="J21" s="43"/>
    </row>
    <row r="22" spans="1:10" ht="12.75" customHeight="1" x14ac:dyDescent="0.3">
      <c r="A22" s="16">
        <v>999</v>
      </c>
      <c r="B22" s="16" t="s">
        <v>201</v>
      </c>
      <c r="D22" s="33">
        <v>18</v>
      </c>
      <c r="E22" s="34">
        <f t="shared" si="0"/>
        <v>10.203973721731684</v>
      </c>
      <c r="F22" s="35">
        <f t="shared" si="1"/>
        <v>11.989636191311227</v>
      </c>
      <c r="G22" s="36">
        <f t="shared" si="2"/>
        <v>37.797836128540482</v>
      </c>
      <c r="I22" s="37" t="s">
        <v>202</v>
      </c>
      <c r="J22" s="38"/>
    </row>
    <row r="23" spans="1:10" ht="12.75" customHeight="1" x14ac:dyDescent="0.3">
      <c r="A23" s="47"/>
      <c r="B23" s="47"/>
      <c r="D23" s="39">
        <v>19</v>
      </c>
      <c r="E23" s="26">
        <f t="shared" si="0"/>
        <v>10.757967088390005</v>
      </c>
      <c r="F23" s="40">
        <f t="shared" si="1"/>
        <v>12.011101698012553</v>
      </c>
      <c r="G23" s="41">
        <f t="shared" si="2"/>
        <v>37.865507047971775</v>
      </c>
      <c r="I23" s="42" t="s">
        <v>203</v>
      </c>
      <c r="J23" s="43"/>
    </row>
    <row r="24" spans="1:10" ht="12.75" customHeight="1" x14ac:dyDescent="0.3">
      <c r="A24" s="47"/>
      <c r="B24" s="47"/>
      <c r="D24" s="33">
        <v>20</v>
      </c>
      <c r="E24" s="34">
        <f t="shared" si="0"/>
        <v>11.309932474020215</v>
      </c>
      <c r="F24" s="35">
        <f t="shared" si="1"/>
        <v>12.033686052078973</v>
      </c>
      <c r="G24" s="36">
        <f t="shared" si="2"/>
        <v>37.936705181130321</v>
      </c>
      <c r="I24" s="37" t="s">
        <v>204</v>
      </c>
      <c r="J24" s="38"/>
    </row>
    <row r="25" spans="1:10" ht="12.75" customHeight="1" x14ac:dyDescent="0.3">
      <c r="A25" s="47"/>
      <c r="B25" s="47"/>
      <c r="D25" s="39">
        <v>21</v>
      </c>
      <c r="E25" s="26">
        <f t="shared" si="0"/>
        <v>11.859779120947978</v>
      </c>
      <c r="F25" s="40">
        <f t="shared" si="1"/>
        <v>12.057382966464987</v>
      </c>
      <c r="G25" s="41">
        <f t="shared" si="2"/>
        <v>38.01141070783877</v>
      </c>
      <c r="I25" s="42" t="s">
        <v>205</v>
      </c>
      <c r="J25" s="43"/>
    </row>
    <row r="26" spans="1:10" ht="12.75" customHeight="1" x14ac:dyDescent="0.3">
      <c r="A26" s="47"/>
      <c r="B26" s="47"/>
      <c r="D26" s="33">
        <v>22</v>
      </c>
      <c r="E26" s="34">
        <f t="shared" si="0"/>
        <v>12.407418527400745</v>
      </c>
      <c r="F26" s="35">
        <f t="shared" si="1"/>
        <v>12.082185894944674</v>
      </c>
      <c r="G26" s="36">
        <f t="shared" si="2"/>
        <v>38.089602990842529</v>
      </c>
      <c r="I26" s="37" t="s">
        <v>206</v>
      </c>
      <c r="J26" s="38"/>
    </row>
    <row r="27" spans="1:10" ht="12.75" customHeight="1" x14ac:dyDescent="0.3">
      <c r="A27" s="47"/>
      <c r="B27" s="47"/>
      <c r="D27" s="39">
        <v>23</v>
      </c>
      <c r="E27" s="26">
        <f t="shared" si="0"/>
        <v>12.95276451337552</v>
      </c>
      <c r="F27" s="40">
        <f t="shared" si="1"/>
        <v>12.108088040644567</v>
      </c>
      <c r="G27" s="41">
        <f t="shared" si="2"/>
        <v>38.171260602709992</v>
      </c>
      <c r="I27" s="42" t="s">
        <v>207</v>
      </c>
      <c r="J27" s="43"/>
    </row>
    <row r="28" spans="1:10" ht="12.75" customHeight="1" x14ac:dyDescent="0.3">
      <c r="A28" s="47"/>
      <c r="B28" s="47"/>
      <c r="D28" s="33">
        <v>24</v>
      </c>
      <c r="E28" s="34">
        <f t="shared" si="0"/>
        <v>13.495733280795811</v>
      </c>
      <c r="F28" s="35">
        <f t="shared" si="1"/>
        <v>12.135082364780224</v>
      </c>
      <c r="G28" s="36">
        <f t="shared" si="2"/>
        <v>38.256361353374949</v>
      </c>
      <c r="I28" s="37" t="s">
        <v>208</v>
      </c>
      <c r="J28" s="38"/>
    </row>
    <row r="29" spans="1:10" ht="12.75" customHeight="1" x14ac:dyDescent="0.3">
      <c r="A29" s="47"/>
      <c r="B29" s="47"/>
      <c r="D29" s="39">
        <v>25</v>
      </c>
      <c r="E29" s="26">
        <f t="shared" si="0"/>
        <v>14.036243467926479</v>
      </c>
      <c r="F29" s="40">
        <f t="shared" si="1"/>
        <v>12.163161595572099</v>
      </c>
      <c r="G29" s="41">
        <f t="shared" si="2"/>
        <v>38.344882318244245</v>
      </c>
      <c r="I29" s="48" t="s">
        <v>209</v>
      </c>
      <c r="J29" s="49"/>
    </row>
    <row r="30" spans="1:10" ht="12.75" customHeight="1" x14ac:dyDescent="0.2">
      <c r="A30" s="47"/>
      <c r="B30" s="47"/>
      <c r="D30" s="33">
        <v>26</v>
      </c>
      <c r="E30" s="34">
        <f t="shared" si="0"/>
        <v>14.574216198038739</v>
      </c>
      <c r="F30" s="35">
        <f t="shared" si="1"/>
        <v>12.19231823731648</v>
      </c>
      <c r="G30" s="36">
        <f t="shared" si="2"/>
        <v>38.436799866794324</v>
      </c>
    </row>
    <row r="31" spans="1:10" ht="12.75" customHeight="1" x14ac:dyDescent="0.2">
      <c r="A31" s="47"/>
      <c r="B31" s="47"/>
      <c r="D31" s="39">
        <v>27</v>
      </c>
      <c r="E31" s="26">
        <f t="shared" si="0"/>
        <v>15.109575122340466</v>
      </c>
      <c r="F31" s="40">
        <f t="shared" si="1"/>
        <v>12.222544579587346</v>
      </c>
      <c r="G31" s="41">
        <f t="shared" si="2"/>
        <v>38.532089691580452</v>
      </c>
    </row>
    <row r="32" spans="1:10" ht="12.75" customHeight="1" x14ac:dyDescent="0.2">
      <c r="A32" s="47"/>
      <c r="B32" s="47"/>
      <c r="D32" s="33">
        <v>28</v>
      </c>
      <c r="E32" s="34">
        <f t="shared" si="0"/>
        <v>15.642246457208728</v>
      </c>
      <c r="F32" s="35">
        <f t="shared" si="1"/>
        <v>12.25383270654533</v>
      </c>
      <c r="G32" s="36">
        <f t="shared" si="2"/>
        <v>38.63072683758358</v>
      </c>
    </row>
    <row r="33" spans="1:7" ht="12.75" customHeight="1" x14ac:dyDescent="0.2">
      <c r="A33" s="47"/>
      <c r="B33" s="47"/>
      <c r="D33" s="39">
        <v>29</v>
      </c>
      <c r="E33" s="26">
        <f t="shared" si="0"/>
        <v>16.172159015782551</v>
      </c>
      <c r="F33" s="40">
        <f t="shared" si="1"/>
        <v>12.286174506330276</v>
      </c>
      <c r="G33" s="41">
        <f t="shared" si="2"/>
        <v>38.732685731820872</v>
      </c>
    </row>
    <row r="34" spans="1:7" ht="12.75" customHeight="1" x14ac:dyDescent="0.2">
      <c r="A34" s="47"/>
      <c r="B34" s="47"/>
      <c r="D34" s="33">
        <v>30</v>
      </c>
      <c r="E34" s="34">
        <f t="shared" si="0"/>
        <v>16.699244233993621</v>
      </c>
      <c r="F34" s="35">
        <f t="shared" si="1"/>
        <v>12.31956168051445</v>
      </c>
      <c r="G34" s="36">
        <f t="shared" si="2"/>
        <v>38.837940213147249</v>
      </c>
    </row>
    <row r="35" spans="1:7" ht="12.75" customHeight="1" x14ac:dyDescent="0.2">
      <c r="A35" s="47"/>
      <c r="B35" s="47"/>
      <c r="D35" s="39">
        <v>31</v>
      </c>
      <c r="E35" s="26">
        <f t="shared" si="0"/>
        <v>17.223436191131462</v>
      </c>
      <c r="F35" s="40">
        <f t="shared" si="1"/>
        <v>12.353985753593859</v>
      </c>
      <c r="G35" s="41">
        <f t="shared" si="2"/>
        <v>38.94646356217725</v>
      </c>
    </row>
    <row r="36" spans="1:7" ht="12.75" customHeight="1" x14ac:dyDescent="0.2">
      <c r="A36" s="47"/>
      <c r="B36" s="47"/>
      <c r="D36" s="33">
        <v>32</v>
      </c>
      <c r="E36" s="34">
        <f t="shared" si="0"/>
        <v>17.744671625056935</v>
      </c>
      <c r="F36" s="35">
        <f t="shared" si="1"/>
        <v>12.389438082495912</v>
      </c>
      <c r="G36" s="36">
        <f t="shared" si="2"/>
        <v>39.058228531258301</v>
      </c>
    </row>
    <row r="37" spans="1:7" ht="12.75" customHeight="1" x14ac:dyDescent="0.2">
      <c r="A37" s="47"/>
      <c r="B37" s="47"/>
      <c r="D37" s="39">
        <v>33</v>
      </c>
      <c r="E37" s="26">
        <f t="shared" si="0"/>
        <v>18.262889942194128</v>
      </c>
      <c r="F37" s="40">
        <f t="shared" si="1"/>
        <v>12.425909866082243</v>
      </c>
      <c r="G37" s="41">
        <f t="shared" si="2"/>
        <v>39.173207374428763</v>
      </c>
    </row>
    <row r="38" spans="1:7" ht="12.75" customHeight="1" x14ac:dyDescent="0.2">
      <c r="A38" s="47"/>
      <c r="B38" s="47"/>
      <c r="D38" s="33">
        <v>34</v>
      </c>
      <c r="E38" s="34">
        <f t="shared" si="0"/>
        <v>18.778033222445544</v>
      </c>
      <c r="F38" s="35">
        <f t="shared" si="1"/>
        <v>12.463392154626284</v>
      </c>
      <c r="G38" s="36">
        <f t="shared" si="2"/>
        <v>39.29137187729642</v>
      </c>
    </row>
    <row r="39" spans="1:7" ht="12.75" customHeight="1" x14ac:dyDescent="0.2">
      <c r="A39" s="47"/>
      <c r="B39" s="47"/>
      <c r="D39" s="39">
        <v>35</v>
      </c>
      <c r="E39" s="26">
        <f t="shared" si="0"/>
        <v>19.290046219188735</v>
      </c>
      <c r="F39" s="40">
        <f t="shared" si="1"/>
        <v>12.501875859246084</v>
      </c>
      <c r="G39" s="41">
        <f t="shared" si="2"/>
        <v>39.412693386775793</v>
      </c>
    </row>
    <row r="40" spans="1:7" ht="12.75" customHeight="1" x14ac:dyDescent="0.2">
      <c r="A40" s="47"/>
      <c r="B40" s="47"/>
      <c r="D40" s="33">
        <v>36</v>
      </c>
      <c r="E40" s="34">
        <f t="shared" si="0"/>
        <v>19.798876354524932</v>
      </c>
      <c r="F40" s="35">
        <f t="shared" si="1"/>
        <v>12.541351761273583</v>
      </c>
      <c r="G40" s="36">
        <f t="shared" si="2"/>
        <v>39.537142840625194</v>
      </c>
    </row>
    <row r="41" spans="1:7" ht="12.75" customHeight="1" x14ac:dyDescent="0.2">
      <c r="A41" s="47"/>
      <c r="B41" s="47"/>
      <c r="D41" s="39">
        <v>37</v>
      </c>
      <c r="E41" s="26">
        <f t="shared" si="0"/>
        <v>20.304473709960437</v>
      </c>
      <c r="F41" s="40">
        <f t="shared" si="1"/>
        <v>12.581810521542597</v>
      </c>
      <c r="G41" s="41">
        <f t="shared" si="2"/>
        <v>39.664690796727513</v>
      </c>
    </row>
    <row r="42" spans="1:7" ht="12.75" customHeight="1" x14ac:dyDescent="0.2">
      <c r="A42" s="47"/>
      <c r="B42" s="47"/>
      <c r="D42" s="33">
        <v>38</v>
      </c>
      <c r="E42" s="34">
        <f t="shared" si="0"/>
        <v>20.80679101271123</v>
      </c>
      <c r="F42" s="35">
        <f t="shared" si="1"/>
        <v>12.623242689578618</v>
      </c>
      <c r="G42" s="36">
        <f t="shared" si="2"/>
        <v>39.795307462061402</v>
      </c>
    </row>
    <row r="43" spans="1:7" ht="12.75" customHeight="1" x14ac:dyDescent="0.2">
      <c r="A43" s="47"/>
      <c r="B43" s="47"/>
      <c r="D43" s="39">
        <v>39</v>
      </c>
      <c r="E43" s="26">
        <f t="shared" si="0"/>
        <v>21.305783617828769</v>
      </c>
      <c r="F43" s="40">
        <f t="shared" si="1"/>
        <v>12.665638712674541</v>
      </c>
      <c r="G43" s="41">
        <f t="shared" si="2"/>
        <v>39.928962721312963</v>
      </c>
    </row>
    <row r="44" spans="1:7" ht="12.75" customHeight="1" x14ac:dyDescent="0.2">
      <c r="A44" s="47"/>
      <c r="B44" s="47"/>
      <c r="D44" s="33">
        <v>40</v>
      </c>
      <c r="E44" s="34">
        <f t="shared" si="0"/>
        <v>21.801409486351812</v>
      </c>
      <c r="F44" s="35">
        <f t="shared" si="1"/>
        <v>12.708988944837431</v>
      </c>
      <c r="G44" s="36">
        <f t="shared" si="2"/>
        <v>40.065626165080715</v>
      </c>
    </row>
    <row r="45" spans="1:7" ht="12.75" customHeight="1" x14ac:dyDescent="0.2">
      <c r="A45" s="47"/>
      <c r="B45" s="47"/>
      <c r="D45" s="39">
        <v>41</v>
      </c>
      <c r="E45" s="26">
        <f t="shared" si="0"/>
        <v>22.293629159694078</v>
      </c>
      <c r="F45" s="40">
        <f t="shared" si="1"/>
        <v>12.753283655592391</v>
      </c>
      <c r="G45" s="41">
        <f t="shared" si="2"/>
        <v>40.20526711763025</v>
      </c>
    </row>
    <row r="46" spans="1:7" ht="12.75" customHeight="1" x14ac:dyDescent="0.2">
      <c r="A46" s="47"/>
      <c r="B46" s="47"/>
      <c r="D46" s="33">
        <v>42</v>
      </c>
      <c r="E46" s="34">
        <f t="shared" si="0"/>
        <v>22.782405730481688</v>
      </c>
      <c r="F46" s="35">
        <f t="shared" si="1"/>
        <v>12.798513038630698</v>
      </c>
      <c r="G46" s="36">
        <f t="shared" si="2"/>
        <v>40.347854664157801</v>
      </c>
    </row>
    <row r="47" spans="1:7" ht="12.75" customHeight="1" x14ac:dyDescent="0.2">
      <c r="A47" s="47"/>
      <c r="B47" s="47"/>
      <c r="D47" s="39">
        <v>43</v>
      </c>
      <c r="E47" s="26">
        <f t="shared" si="0"/>
        <v>23.267704810056951</v>
      </c>
      <c r="F47" s="40">
        <f t="shared" si="1"/>
        <v>12.844667220290296</v>
      </c>
      <c r="G47" s="41">
        <f t="shared" si="2"/>
        <v>40.493357677525339</v>
      </c>
    </row>
    <row r="48" spans="1:7" ht="12.75" customHeight="1" x14ac:dyDescent="0.2">
      <c r="A48" s="47"/>
      <c r="B48" s="47"/>
      <c r="D48" s="33">
        <v>44</v>
      </c>
      <c r="E48" s="34">
        <f t="shared" si="0"/>
        <v>23.749494492866763</v>
      </c>
      <c r="F48" s="35">
        <f t="shared" si="1"/>
        <v>12.891736267857794</v>
      </c>
      <c r="G48" s="36">
        <f t="shared" si="2"/>
        <v>40.641744844433049</v>
      </c>
    </row>
    <row r="49" spans="1:7" ht="12.75" customHeight="1" x14ac:dyDescent="0.2">
      <c r="A49" s="47"/>
      <c r="B49" s="47"/>
      <c r="D49" s="39">
        <v>45</v>
      </c>
      <c r="E49" s="26">
        <f t="shared" si="0"/>
        <v>24.22774531795417</v>
      </c>
      <c r="F49" s="40">
        <f t="shared" si="1"/>
        <v>12.939710197682173</v>
      </c>
      <c r="G49" s="41">
        <f t="shared" si="2"/>
        <v>40.79298469099804</v>
      </c>
    </row>
    <row r="50" spans="1:7" ht="12.75" customHeight="1" x14ac:dyDescent="0.2">
      <c r="A50" s="47"/>
      <c r="B50" s="47"/>
      <c r="D50" s="33">
        <v>46</v>
      </c>
      <c r="E50" s="34">
        <f t="shared" si="0"/>
        <v>24.702430227771313</v>
      </c>
      <c r="F50" s="35">
        <f t="shared" si="1"/>
        <v>12.988578983091262</v>
      </c>
      <c r="G50" s="36">
        <f t="shared" si="2"/>
        <v>40.947045607711438</v>
      </c>
    </row>
    <row r="51" spans="1:7" ht="12.75" customHeight="1" x14ac:dyDescent="0.2">
      <c r="A51" s="47"/>
      <c r="B51" s="47"/>
      <c r="D51" s="39">
        <v>47</v>
      </c>
      <c r="E51" s="26">
        <f t="shared" si="0"/>
        <v>25.173524524530166</v>
      </c>
      <c r="F51" s="40">
        <f t="shared" si="1"/>
        <v>13.038332562103179</v>
      </c>
      <c r="G51" s="41">
        <f t="shared" si="2"/>
        <v>41.103895873749003</v>
      </c>
    </row>
    <row r="52" spans="1:7" ht="12.75" customHeight="1" x14ac:dyDescent="0.2">
      <c r="A52" s="47"/>
      <c r="B52" s="47"/>
      <c r="D52" s="33">
        <v>48</v>
      </c>
      <c r="E52" s="34">
        <f t="shared" si="0"/>
        <v>25.641005824305282</v>
      </c>
      <c r="F52" s="35">
        <f t="shared" si="1"/>
        <v>13.088960844925774</v>
      </c>
      <c r="G52" s="36">
        <f t="shared" si="2"/>
        <v>41.263503680613461</v>
      </c>
    </row>
    <row r="53" spans="1:7" ht="12.75" customHeight="1" x14ac:dyDescent="0.2">
      <c r="A53" s="47"/>
      <c r="B53" s="47"/>
      <c r="D53" s="39">
        <v>49</v>
      </c>
      <c r="E53" s="26">
        <f t="shared" si="0"/>
        <v>26.104854009099295</v>
      </c>
      <c r="F53" s="40">
        <f t="shared" si="1"/>
        <v>13.140453721238092</v>
      </c>
      <c r="G53" s="41">
        <f t="shared" si="2"/>
        <v>41.425837155089582</v>
      </c>
    </row>
    <row r="54" spans="1:7" ht="12.75" customHeight="1" x14ac:dyDescent="0.2">
      <c r="A54" s="47"/>
      <c r="B54" s="47"/>
      <c r="D54" s="33">
        <v>50</v>
      </c>
      <c r="E54" s="34">
        <f t="shared" si="0"/>
        <v>26.56505117707799</v>
      </c>
      <c r="F54" s="35">
        <f t="shared" si="1"/>
        <v>13.192801067248761</v>
      </c>
      <c r="G54" s="36">
        <f t="shared" si="2"/>
        <v>41.59086438149609</v>
      </c>
    </row>
    <row r="55" spans="1:7" ht="12.75" customHeight="1" x14ac:dyDescent="0.2">
      <c r="A55" s="47"/>
      <c r="B55" s="47"/>
      <c r="D55" s="39">
        <v>51</v>
      </c>
      <c r="E55" s="26">
        <f t="shared" si="0"/>
        <v>27.021581591177039</v>
      </c>
      <c r="F55" s="40">
        <f t="shared" si="1"/>
        <v>13.245992752527084</v>
      </c>
      <c r="G55" s="41">
        <f t="shared" si="2"/>
        <v>41.758553423220974</v>
      </c>
    </row>
    <row r="56" spans="1:7" ht="12.75" customHeight="1" x14ac:dyDescent="0.2">
      <c r="A56" s="47"/>
      <c r="B56" s="47"/>
      <c r="D56" s="33">
        <v>52</v>
      </c>
      <c r="E56" s="34">
        <f t="shared" si="0"/>
        <v>27.474431626277134</v>
      </c>
      <c r="F56" s="35">
        <f t="shared" si="1"/>
        <v>13.300018646603471</v>
      </c>
      <c r="G56" s="36">
        <f t="shared" si="2"/>
        <v>41.928872343529591</v>
      </c>
    </row>
    <row r="57" spans="1:7" ht="12.75" customHeight="1" x14ac:dyDescent="0.2">
      <c r="A57" s="47"/>
      <c r="B57" s="47"/>
      <c r="D57" s="39">
        <v>53</v>
      </c>
      <c r="E57" s="26">
        <f t="shared" si="0"/>
        <v>27.923589715138384</v>
      </c>
      <c r="F57" s="40">
        <f t="shared" si="1"/>
        <v>13.354868625336605</v>
      </c>
      <c r="G57" s="41">
        <f t="shared" si="2"/>
        <v>42.101789225637432</v>
      </c>
    </row>
    <row r="58" spans="1:7" ht="12.75" customHeight="1" x14ac:dyDescent="0.2">
      <c r="A58" s="47"/>
      <c r="B58" s="47"/>
      <c r="D58" s="33">
        <v>54</v>
      </c>
      <c r="E58" s="34">
        <f t="shared" si="0"/>
        <v>28.369046293278583</v>
      </c>
      <c r="F58" s="35">
        <f t="shared" si="1"/>
        <v>13.410532577045553</v>
      </c>
      <c r="G58" s="36">
        <f t="shared" si="2"/>
        <v>42.277272192041913</v>
      </c>
    </row>
    <row r="59" spans="1:7" ht="12.75" customHeight="1" x14ac:dyDescent="0.2">
      <c r="A59" s="47"/>
      <c r="B59" s="47"/>
      <c r="D59" s="39">
        <v>55</v>
      </c>
      <c r="E59" s="26">
        <f t="shared" si="0"/>
        <v>28.810793742973065</v>
      </c>
      <c r="F59" s="40">
        <f t="shared" si="1"/>
        <v>13.467000408405728</v>
      </c>
      <c r="G59" s="41">
        <f t="shared" si="2"/>
        <v>42.455289423109583</v>
      </c>
    </row>
    <row r="60" spans="1:7" ht="12.75" customHeight="1" x14ac:dyDescent="0.2">
      <c r="A60" s="47"/>
      <c r="B60" s="47"/>
      <c r="D60" s="33">
        <v>56</v>
      </c>
      <c r="E60" s="34">
        <f t="shared" si="0"/>
        <v>29.24882633654698</v>
      </c>
      <c r="F60" s="35">
        <f t="shared" si="1"/>
        <v>13.524262050108318</v>
      </c>
      <c r="G60" s="36">
        <f t="shared" si="2"/>
        <v>42.635809174917746</v>
      </c>
    </row>
    <row r="61" spans="1:7" ht="12.75" customHeight="1" x14ac:dyDescent="0.2">
      <c r="A61" s="47"/>
      <c r="B61" s="47"/>
      <c r="D61" s="39">
        <v>57</v>
      </c>
      <c r="E61" s="26">
        <f t="shared" si="0"/>
        <v>29.683140179123296</v>
      </c>
      <c r="F61" s="40">
        <f t="shared" si="1"/>
        <v>13.582307462283426</v>
      </c>
      <c r="G61" s="41">
        <f t="shared" si="2"/>
        <v>42.818799796351136</v>
      </c>
    </row>
    <row r="62" spans="1:7" ht="12.75" customHeight="1" x14ac:dyDescent="0.2">
      <c r="A62" s="47"/>
      <c r="B62" s="47"/>
      <c r="D62" s="33">
        <v>58</v>
      </c>
      <c r="E62" s="34">
        <f t="shared" si="0"/>
        <v>30.113733150982437</v>
      </c>
      <c r="F62" s="35">
        <f t="shared" si="1"/>
        <v>13.641126639687796</v>
      </c>
      <c r="G62" s="36">
        <f t="shared" si="2"/>
        <v>43.004229745456442</v>
      </c>
    </row>
    <row r="63" spans="1:7" ht="12.75" customHeight="1" x14ac:dyDescent="0.2">
      <c r="A63" s="47"/>
      <c r="B63" s="47"/>
      <c r="D63" s="39">
        <v>59</v>
      </c>
      <c r="E63" s="26">
        <f t="shared" si="0"/>
        <v>30.5406048496815</v>
      </c>
      <c r="F63" s="40">
        <f t="shared" si="1"/>
        <v>13.700709616658548</v>
      </c>
      <c r="G63" s="41">
        <f t="shared" si="2"/>
        <v>43.192067605059151</v>
      </c>
    </row>
    <row r="64" spans="1:7" ht="12.75" customHeight="1" x14ac:dyDescent="0.2">
      <c r="A64" s="47"/>
      <c r="B64" s="47"/>
      <c r="D64" s="33">
        <v>60</v>
      </c>
      <c r="E64" s="34">
        <f t="shared" si="0"/>
        <v>30.963756532073521</v>
      </c>
      <c r="F64" s="35">
        <f t="shared" si="1"/>
        <v>13.761046471834909</v>
      </c>
      <c r="G64" s="36">
        <f t="shared" si="2"/>
        <v>43.382282097649039</v>
      </c>
    </row>
    <row r="65" spans="1:7" ht="12.75" customHeight="1" x14ac:dyDescent="0.2">
      <c r="A65" s="47"/>
      <c r="B65" s="47"/>
      <c r="D65" s="39">
        <v>61</v>
      </c>
      <c r="E65" s="26">
        <f t="shared" si="0"/>
        <v>31.383191056359031</v>
      </c>
      <c r="F65" s="40">
        <f t="shared" si="1"/>
        <v>13.822127332650355</v>
      </c>
      <c r="G65" s="41">
        <f t="shared" si="2"/>
        <v>43.574842099541797</v>
      </c>
    </row>
    <row r="66" spans="1:7" ht="12.75" customHeight="1" x14ac:dyDescent="0.2">
      <c r="A66" s="47"/>
      <c r="B66" s="47"/>
      <c r="D66" s="33">
        <v>62</v>
      </c>
      <c r="E66" s="34">
        <f t="shared" si="0"/>
        <v>31.798912824294419</v>
      </c>
      <c r="F66" s="35">
        <f t="shared" si="1"/>
        <v>13.883942379598095</v>
      </c>
      <c r="G66" s="36">
        <f t="shared" si="2"/>
        <v>43.769716654326196</v>
      </c>
    </row>
    <row r="67" spans="1:7" ht="12.75" customHeight="1" x14ac:dyDescent="0.2">
      <c r="A67" s="47"/>
      <c r="B67" s="47"/>
      <c r="D67" s="39">
        <v>63</v>
      </c>
      <c r="E67" s="26">
        <f t="shared" si="0"/>
        <v>32.210927723673755</v>
      </c>
      <c r="F67" s="40">
        <f t="shared" si="1"/>
        <v>13.94648185027321</v>
      </c>
      <c r="G67" s="41">
        <f t="shared" si="2"/>
        <v>43.96687498560707</v>
      </c>
    </row>
    <row r="68" spans="1:7" ht="12.75" customHeight="1" x14ac:dyDescent="0.2">
      <c r="A68" s="47"/>
      <c r="B68" s="47"/>
      <c r="D68" s="33">
        <v>64</v>
      </c>
      <c r="E68" s="34">
        <f t="shared" si="0"/>
        <v>32.619243071192827</v>
      </c>
      <c r="F68" s="35">
        <f t="shared" si="1"/>
        <v>14.009736043195106</v>
      </c>
      <c r="G68" s="36">
        <f t="shared" si="2"/>
        <v>44.166286509055759</v>
      </c>
    </row>
    <row r="69" spans="1:7" ht="12.75" customHeight="1" x14ac:dyDescent="0.2">
      <c r="A69" s="47"/>
      <c r="B69" s="47"/>
      <c r="D69" s="39">
        <v>65</v>
      </c>
      <c r="E69" s="26">
        <f t="shared" si="0"/>
        <v>33.023867555796649</v>
      </c>
      <c r="F69" s="40">
        <f t="shared" si="1"/>
        <v>14.073695321414345</v>
      </c>
      <c r="G69" s="41">
        <f t="shared" si="2"/>
        <v>44.367920843780816</v>
      </c>
    </row>
    <row r="70" spans="1:7" ht="12.75" customHeight="1" x14ac:dyDescent="0.2">
      <c r="A70" s="47"/>
      <c r="B70" s="47"/>
      <c r="D70" s="33">
        <v>66</v>
      </c>
      <c r="E70" s="34">
        <f t="shared" si="0"/>
        <v>33.424811182603804</v>
      </c>
      <c r="F70" s="35">
        <f t="shared" si="1"/>
        <v>14.138350115908151</v>
      </c>
      <c r="G70" s="36">
        <f t="shared" si="2"/>
        <v>44.571747823032474</v>
      </c>
    </row>
    <row r="71" spans="1:7" ht="12.75" customHeight="1" x14ac:dyDescent="0.2">
      <c r="A71" s="47"/>
      <c r="B71" s="47"/>
      <c r="D71" s="39">
        <v>67</v>
      </c>
      <c r="E71" s="26">
        <f t="shared" si="0"/>
        <v>33.822085217493957</v>
      </c>
      <c r="F71" s="40">
        <f t="shared" si="1"/>
        <v>14.203690928769184</v>
      </c>
      <c r="G71" s="41">
        <f t="shared" si="2"/>
        <v>44.777737504255398</v>
      </c>
    </row>
    <row r="72" spans="1:7" ht="12.75" customHeight="1" x14ac:dyDescent="0.2">
      <c r="A72" s="47"/>
      <c r="B72" s="47"/>
      <c r="D72" s="33">
        <v>68</v>
      </c>
      <c r="E72" s="34">
        <f t="shared" ref="E72:E104" si="3">DEGREES(ATAN($D72/100))</f>
        <v>34.215702132437407</v>
      </c>
      <c r="F72" s="35">
        <f t="shared" ref="F72:F104" si="4">$F$3/COS(RADIANS(E72))</f>
        <v>14.269708336192441</v>
      </c>
      <c r="G72" s="36">
        <f t="shared" ref="G72:G104" si="5">$G$3/COS(RADIANS(E72))</f>
        <v>44.985860178504986</v>
      </c>
    </row>
    <row r="73" spans="1:7" ht="12.75" customHeight="1" x14ac:dyDescent="0.2">
      <c r="A73" s="47"/>
      <c r="B73" s="47"/>
      <c r="D73" s="39">
        <v>69</v>
      </c>
      <c r="E73" s="26">
        <f t="shared" si="3"/>
        <v>34.605675551638562</v>
      </c>
      <c r="F73" s="40">
        <f t="shared" si="4"/>
        <v>14.336392991265273</v>
      </c>
      <c r="G73" s="41">
        <f t="shared" si="5"/>
        <v>45.196086379243063</v>
      </c>
    </row>
    <row r="74" spans="1:7" ht="12.75" customHeight="1" x14ac:dyDescent="0.2">
      <c r="A74" s="47"/>
      <c r="B74" s="47"/>
      <c r="D74" s="33">
        <v>70</v>
      </c>
      <c r="E74" s="34">
        <f t="shared" si="3"/>
        <v>34.992020198558663</v>
      </c>
      <c r="F74" s="35">
        <f t="shared" si="4"/>
        <v>14.403735626565771</v>
      </c>
      <c r="G74" s="36">
        <f t="shared" si="5"/>
        <v>45.408386890529378</v>
      </c>
    </row>
    <row r="75" spans="1:7" ht="12.75" customHeight="1" x14ac:dyDescent="0.2">
      <c r="A75" s="47"/>
      <c r="B75" s="47"/>
      <c r="D75" s="39">
        <v>71</v>
      </c>
      <c r="E75" s="26">
        <f t="shared" si="3"/>
        <v>35.374751843876084</v>
      </c>
      <c r="F75" s="40">
        <f t="shared" si="4"/>
        <v>14.471727056574833</v>
      </c>
      <c r="G75" s="41">
        <f t="shared" si="5"/>
        <v>45.622732754625744</v>
      </c>
    </row>
    <row r="76" spans="1:7" ht="12.75" customHeight="1" x14ac:dyDescent="0.2">
      <c r="A76" s="47"/>
      <c r="B76" s="47"/>
      <c r="D76" s="33">
        <v>72</v>
      </c>
      <c r="E76" s="34">
        <f t="shared" si="3"/>
        <v>35.753887254436748</v>
      </c>
      <c r="F76" s="35">
        <f t="shared" si="4"/>
        <v>14.540358179907399</v>
      </c>
      <c r="G76" s="36">
        <f t="shared" si="5"/>
        <v>45.839095279030104</v>
      </c>
    </row>
    <row r="77" spans="1:7" ht="12.75" customHeight="1" x14ac:dyDescent="0.2">
      <c r="A77" s="47"/>
      <c r="B77" s="47"/>
      <c r="D77" s="39">
        <v>73</v>
      </c>
      <c r="E77" s="26">
        <f t="shared" si="3"/>
        <v>36.12944414324086</v>
      </c>
      <c r="F77" s="40">
        <f t="shared" si="4"/>
        <v>14.609619981368441</v>
      </c>
      <c r="G77" s="41">
        <f t="shared" si="5"/>
        <v>46.057446042958141</v>
      </c>
    </row>
    <row r="78" spans="1:7" ht="12.75" customHeight="1" x14ac:dyDescent="0.2">
      <c r="A78" s="47"/>
      <c r="B78" s="47"/>
      <c r="D78" s="33">
        <v>74</v>
      </c>
      <c r="E78" s="34">
        <f t="shared" si="3"/>
        <v>36.501441120506314</v>
      </c>
      <c r="F78" s="35">
        <f t="shared" si="4"/>
        <v>14.679503533839284</v>
      </c>
      <c r="G78" s="36">
        <f t="shared" si="5"/>
        <v>46.277756903289948</v>
      </c>
    </row>
    <row r="79" spans="1:7" ht="12.75" customHeight="1" x14ac:dyDescent="0.2">
      <c r="A79" s="47"/>
      <c r="B79" s="47"/>
      <c r="D79" s="39">
        <v>75</v>
      </c>
      <c r="E79" s="26">
        <f t="shared" si="3"/>
        <v>36.86989764584402</v>
      </c>
      <c r="F79" s="40">
        <f t="shared" si="4"/>
        <v>14.75</v>
      </c>
      <c r="G79" s="41">
        <f t="shared" si="5"/>
        <v>46.5</v>
      </c>
    </row>
    <row r="80" spans="1:7" ht="12.75" customHeight="1" x14ac:dyDescent="0.2">
      <c r="A80" s="47"/>
      <c r="B80" s="47"/>
      <c r="D80" s="33">
        <v>76</v>
      </c>
      <c r="E80" s="34">
        <f t="shared" si="3"/>
        <v>37.234833981574667</v>
      </c>
      <c r="F80" s="35">
        <f t="shared" si="4"/>
        <v>14.821100633893558</v>
      </c>
      <c r="G80" s="36">
        <f t="shared" si="5"/>
        <v>46.724147761088169</v>
      </c>
    </row>
    <row r="81" spans="1:7" ht="12.75" customHeight="1" x14ac:dyDescent="0.2">
      <c r="A81" s="47"/>
      <c r="B81" s="47"/>
      <c r="D81" s="39">
        <v>77</v>
      </c>
      <c r="E81" s="26">
        <f t="shared" si="3"/>
        <v>37.596271147211986</v>
      </c>
      <c r="F81" s="40">
        <f t="shared" si="4"/>
        <v>14.892796782337429</v>
      </c>
      <c r="G81" s="41">
        <f t="shared" si="5"/>
        <v>46.950172907029859</v>
      </c>
    </row>
    <row r="82" spans="1:7" ht="12.75" customHeight="1" x14ac:dyDescent="0.2">
      <c r="A82" s="47"/>
      <c r="B82" s="47"/>
      <c r="D82" s="33">
        <v>78</v>
      </c>
      <c r="E82" s="34">
        <f t="shared" si="3"/>
        <v>37.954230875132517</v>
      </c>
      <c r="F82" s="35">
        <f t="shared" si="4"/>
        <v>14.965079886188382</v>
      </c>
      <c r="G82" s="36">
        <f t="shared" si="5"/>
        <v>47.178048454763371</v>
      </c>
    </row>
    <row r="83" spans="1:7" ht="12.75" customHeight="1" x14ac:dyDescent="0.2">
      <c r="A83" s="47"/>
      <c r="B83" s="47"/>
      <c r="D83" s="39">
        <v>79</v>
      </c>
      <c r="E83" s="26">
        <f t="shared" si="3"/>
        <v>38.308735567447719</v>
      </c>
      <c r="F83" s="40">
        <f t="shared" si="4"/>
        <v>15.03794148146614</v>
      </c>
      <c r="G83" s="41">
        <f t="shared" si="5"/>
        <v>47.407747721232241</v>
      </c>
    </row>
    <row r="84" spans="1:7" ht="12.75" customHeight="1" x14ac:dyDescent="0.2">
      <c r="A84" s="47"/>
      <c r="B84" s="47"/>
      <c r="D84" s="33">
        <v>80</v>
      </c>
      <c r="E84" s="34">
        <f t="shared" si="3"/>
        <v>38.659808254090095</v>
      </c>
      <c r="F84" s="35">
        <f t="shared" si="4"/>
        <v>15.111373200341525</v>
      </c>
      <c r="G84" s="36">
        <f t="shared" si="5"/>
        <v>47.639244326500403</v>
      </c>
    </row>
    <row r="85" spans="1:7" ht="12.75" customHeight="1" x14ac:dyDescent="0.2">
      <c r="D85" s="39">
        <v>81</v>
      </c>
      <c r="E85" s="26">
        <f t="shared" si="3"/>
        <v>39.007472552121044</v>
      </c>
      <c r="F85" s="40">
        <f t="shared" si="4"/>
        <v>15.185366771994676</v>
      </c>
      <c r="G85" s="41">
        <f t="shared" si="5"/>
        <v>47.872512196457791</v>
      </c>
    </row>
    <row r="86" spans="1:7" ht="12.75" customHeight="1" x14ac:dyDescent="0.2">
      <c r="D86" s="33">
        <v>82</v>
      </c>
      <c r="E86" s="34">
        <f t="shared" si="3"/>
        <v>39.351752626264734</v>
      </c>
      <c r="F86" s="35">
        <f t="shared" si="4"/>
        <v>15.259914023348887</v>
      </c>
      <c r="G86" s="36">
        <f t="shared" si="5"/>
        <v>48.107525565133784</v>
      </c>
    </row>
    <row r="87" spans="1:7" ht="12.75" customHeight="1" x14ac:dyDescent="0.2">
      <c r="D87" s="39">
        <v>83</v>
      </c>
      <c r="E87" s="26">
        <f t="shared" si="3"/>
        <v>39.692673150668817</v>
      </c>
      <c r="F87" s="40">
        <f t="shared" si="4"/>
        <v>15.335006879685448</v>
      </c>
      <c r="G87" s="41">
        <f t="shared" si="5"/>
        <v>48.34425897663548</v>
      </c>
    </row>
    <row r="88" spans="1:7" ht="12.75" customHeight="1" x14ac:dyDescent="0.2">
      <c r="D88" s="33">
        <v>84</v>
      </c>
      <c r="E88" s="34">
        <f t="shared" si="3"/>
        <v>40.030259271889697</v>
      </c>
      <c r="F88" s="35">
        <f t="shared" si="4"/>
        <v>15.410637365144895</v>
      </c>
      <c r="G88" s="36">
        <f t="shared" si="5"/>
        <v>48.582687286727975</v>
      </c>
    </row>
    <row r="89" spans="1:7" ht="12.75" customHeight="1" x14ac:dyDescent="0.2">
      <c r="D89" s="39">
        <v>85</v>
      </c>
      <c r="E89" s="26">
        <f t="shared" si="3"/>
        <v>40.364536573097361</v>
      </c>
      <c r="F89" s="40">
        <f t="shared" si="4"/>
        <v>15.486797603119893</v>
      </c>
      <c r="G89" s="41">
        <f t="shared" si="5"/>
        <v>48.822785664072882</v>
      </c>
    </row>
    <row r="90" spans="1:7" ht="12.75" customHeight="1" x14ac:dyDescent="0.2">
      <c r="D90" s="33">
        <v>86</v>
      </c>
      <c r="E90" s="34">
        <f t="shared" si="3"/>
        <v>40.695531039492018</v>
      </c>
      <c r="F90" s="35">
        <f t="shared" si="4"/>
        <v>15.563479816544886</v>
      </c>
      <c r="G90" s="36">
        <f t="shared" si="5"/>
        <v>49.064529591141508</v>
      </c>
    </row>
    <row r="91" spans="1:7" ht="12.75" customHeight="1" x14ac:dyDescent="0.2">
      <c r="D91" s="39">
        <v>87</v>
      </c>
      <c r="E91" s="26">
        <f t="shared" si="3"/>
        <v>41.023269024922435</v>
      </c>
      <c r="F91" s="40">
        <f t="shared" si="4"/>
        <v>15.640676328087608</v>
      </c>
      <c r="G91" s="41">
        <f t="shared" si="5"/>
        <v>49.307894864818564</v>
      </c>
    </row>
    <row r="92" spans="1:7" ht="12.75" customHeight="1" x14ac:dyDescent="0.2">
      <c r="D92" s="33">
        <v>88</v>
      </c>
      <c r="E92" s="34">
        <f t="shared" si="3"/>
        <v>41.347777219693668</v>
      </c>
      <c r="F92" s="35">
        <f t="shared" si="4"/>
        <v>15.7183795602473</v>
      </c>
      <c r="G92" s="36">
        <f t="shared" si="5"/>
        <v>49.552857596711824</v>
      </c>
    </row>
    <row r="93" spans="1:7" ht="12.75" customHeight="1" x14ac:dyDescent="0.2">
      <c r="D93" s="39">
        <v>89</v>
      </c>
      <c r="E93" s="26">
        <f t="shared" si="3"/>
        <v>41.669082619549954</v>
      </c>
      <c r="F93" s="40">
        <f t="shared" si="4"/>
        <v>15.796582035364489</v>
      </c>
      <c r="G93" s="41">
        <f t="shared" si="5"/>
        <v>49.799394213182964</v>
      </c>
    </row>
    <row r="94" spans="1:7" ht="12.75" customHeight="1" x14ac:dyDescent="0.2">
      <c r="D94" s="33">
        <v>90</v>
      </c>
      <c r="E94" s="34">
        <f t="shared" si="3"/>
        <v>41.987212495816657</v>
      </c>
      <c r="F94" s="35">
        <f t="shared" si="4"/>
        <v>15.875276375546978</v>
      </c>
      <c r="G94" s="36">
        <f t="shared" si="5"/>
        <v>50.047481455114202</v>
      </c>
    </row>
    <row r="95" spans="1:7" ht="12.75" customHeight="1" x14ac:dyDescent="0.2">
      <c r="D95" s="39">
        <v>91</v>
      </c>
      <c r="E95" s="26">
        <f t="shared" si="3"/>
        <v>42.3021943666837</v>
      </c>
      <c r="F95" s="40">
        <f t="shared" si="4"/>
        <v>15.9544553025166</v>
      </c>
      <c r="G95" s="41">
        <f t="shared" si="5"/>
        <v>50.297096377425213</v>
      </c>
    </row>
    <row r="96" spans="1:7" ht="12.75" customHeight="1" x14ac:dyDescent="0.2">
      <c r="D96" s="33">
        <v>92</v>
      </c>
      <c r="E96" s="34">
        <f t="shared" si="3"/>
        <v>42.614055969611186</v>
      </c>
      <c r="F96" s="35">
        <f t="shared" si="4"/>
        <v>16.034111637381102</v>
      </c>
      <c r="G96" s="36">
        <f t="shared" si="5"/>
        <v>50.548216348353982</v>
      </c>
    </row>
    <row r="97" spans="4:7" ht="12.75" customHeight="1" x14ac:dyDescent="0.2">
      <c r="D97" s="39">
        <v>93</v>
      </c>
      <c r="E97" s="26">
        <f t="shared" si="3"/>
        <v>42.922825234837191</v>
      </c>
      <c r="F97" s="40">
        <f t="shared" si="4"/>
        <v>16.114238300335515</v>
      </c>
      <c r="G97" s="41">
        <f t="shared" si="5"/>
        <v>50.800819048515351</v>
      </c>
    </row>
    <row r="98" spans="4:7" ht="12.75" customHeight="1" x14ac:dyDescent="0.2">
      <c r="D98" s="33">
        <v>94</v>
      </c>
      <c r="E98" s="34">
        <f t="shared" si="3"/>
        <v>43.228530259965922</v>
      </c>
      <c r="F98" s="35">
        <f t="shared" si="4"/>
        <v>16.194828310297087</v>
      </c>
      <c r="G98" s="36">
        <f t="shared" si="5"/>
        <v>51.05488246975014</v>
      </c>
    </row>
    <row r="99" spans="4:7" ht="12.75" customHeight="1" x14ac:dyDescent="0.2">
      <c r="D99" s="39">
        <v>95</v>
      </c>
      <c r="E99" s="26">
        <f t="shared" si="3"/>
        <v>43.531199285614179</v>
      </c>
      <c r="F99" s="40">
        <f t="shared" si="4"/>
        <v>16.275874784477793</v>
      </c>
      <c r="G99" s="41">
        <f t="shared" si="5"/>
        <v>51.310384913777447</v>
      </c>
    </row>
    <row r="100" spans="4:7" ht="12.75" customHeight="1" x14ac:dyDescent="0.2">
      <c r="D100" s="33">
        <v>96</v>
      </c>
      <c r="E100" s="34">
        <f t="shared" si="3"/>
        <v>43.830860672092584</v>
      </c>
      <c r="F100" s="35">
        <f t="shared" si="4"/>
        <v>16.357370937898303</v>
      </c>
      <c r="G100" s="36">
        <f t="shared" si="5"/>
        <v>51.56730499066245</v>
      </c>
    </row>
    <row r="101" spans="4:7" ht="12.75" customHeight="1" x14ac:dyDescent="0.2">
      <c r="D101" s="39">
        <v>97</v>
      </c>
      <c r="E101" s="26">
        <f t="shared" si="3"/>
        <v>44.127542877097966</v>
      </c>
      <c r="F101" s="40">
        <f t="shared" si="4"/>
        <v>16.43931008284715</v>
      </c>
      <c r="G101" s="41">
        <f t="shared" si="5"/>
        <v>51.825621617111359</v>
      </c>
    </row>
    <row r="102" spans="4:7" ht="12.75" customHeight="1" x14ac:dyDescent="0.2">
      <c r="D102" s="33">
        <v>98</v>
      </c>
      <c r="E102" s="34">
        <f t="shared" si="3"/>
        <v>44.421274434392238</v>
      </c>
      <c r="F102" s="35">
        <f t="shared" si="4"/>
        <v>16.521685628288658</v>
      </c>
      <c r="G102" s="36">
        <f>$G$3/COS(RADIANS(E102))</f>
        <v>52.085314014604926</v>
      </c>
    </row>
    <row r="103" spans="4:7" ht="12.75" customHeight="1" x14ac:dyDescent="0.2">
      <c r="D103" s="39">
        <v>99</v>
      </c>
      <c r="E103" s="26">
        <f t="shared" si="3"/>
        <v>44.712083933442905</v>
      </c>
      <c r="F103" s="40">
        <f t="shared" si="4"/>
        <v>16.604491079223113</v>
      </c>
      <c r="G103" s="41">
        <f t="shared" si="5"/>
        <v>52.346361707381341</v>
      </c>
    </row>
    <row r="104" spans="4:7" ht="12.75" customHeight="1" thickBot="1" x14ac:dyDescent="0.25">
      <c r="D104" s="33">
        <v>100</v>
      </c>
      <c r="E104" s="34">
        <f t="shared" si="3"/>
        <v>45</v>
      </c>
      <c r="F104" s="35">
        <f t="shared" si="4"/>
        <v>16.687720036002521</v>
      </c>
      <c r="G104" s="36">
        <f t="shared" si="5"/>
        <v>52.608744520279139</v>
      </c>
    </row>
    <row r="105" spans="4:7" ht="12.75" customHeight="1" thickTop="1" thickBot="1" x14ac:dyDescent="0.25">
      <c r="D105" s="50"/>
      <c r="E105" s="51"/>
      <c r="F105" s="52"/>
      <c r="G105" s="52"/>
    </row>
    <row r="106" spans="4:7" ht="12.75" customHeight="1" thickTop="1" thickBot="1" x14ac:dyDescent="0.25">
      <c r="D106" s="53"/>
      <c r="E106" s="54">
        <f t="shared" ref="E106" si="6">DEGREES(ATAN($D106/100))</f>
        <v>0</v>
      </c>
      <c r="F106" s="55">
        <f t="shared" ref="F106" si="7">$F$3/COS(RADIANS(E106))</f>
        <v>11.8</v>
      </c>
      <c r="G106" s="56">
        <f t="shared" ref="G106" si="8">$G$3/COS(RADIANS(E106))</f>
        <v>37.200000000000003</v>
      </c>
    </row>
  </sheetData>
  <mergeCells count="4">
    <mergeCell ref="F2:G2"/>
    <mergeCell ref="L3:M3"/>
    <mergeCell ref="O3:P3"/>
    <mergeCell ref="F4:G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16261-23D3-4D75-BA6B-F08A29A5A80E}">
  <dimension ref="A1:E45"/>
  <sheetViews>
    <sheetView workbookViewId="0">
      <pane ySplit="1" topLeftCell="A2" activePane="bottomLeft" state="frozen"/>
      <selection pane="bottomLeft" activeCell="A15" sqref="A15"/>
    </sheetView>
  </sheetViews>
  <sheetFormatPr defaultRowHeight="14.4" x14ac:dyDescent="0.3"/>
  <cols>
    <col min="1" max="1" width="23.6640625" customWidth="1"/>
    <col min="2" max="2" width="153.109375" bestFit="1" customWidth="1"/>
    <col min="3" max="3" width="13.44140625" bestFit="1" customWidth="1"/>
    <col min="4" max="4" width="20.6640625" bestFit="1" customWidth="1"/>
    <col min="5" max="5" width="15.109375" bestFit="1" customWidth="1"/>
  </cols>
  <sheetData>
    <row r="1" spans="1:5" ht="16.2" thickBot="1" x14ac:dyDescent="0.35">
      <c r="A1" s="57" t="s">
        <v>210</v>
      </c>
      <c r="B1" s="58" t="s">
        <v>149</v>
      </c>
      <c r="C1" s="59" t="s">
        <v>211</v>
      </c>
      <c r="D1" s="60" t="s">
        <v>212</v>
      </c>
      <c r="E1" s="61" t="s">
        <v>213</v>
      </c>
    </row>
    <row r="2" spans="1:5" x14ac:dyDescent="0.3">
      <c r="A2" s="62" t="s">
        <v>214</v>
      </c>
      <c r="B2" s="63" t="s">
        <v>215</v>
      </c>
      <c r="C2" s="64">
        <v>17</v>
      </c>
      <c r="D2" s="65" t="s">
        <v>139</v>
      </c>
      <c r="E2" s="66" t="s">
        <v>9</v>
      </c>
    </row>
    <row r="3" spans="1:5" x14ac:dyDescent="0.3">
      <c r="A3" s="67" t="s">
        <v>216</v>
      </c>
      <c r="B3" s="68" t="s">
        <v>217</v>
      </c>
      <c r="C3">
        <v>19</v>
      </c>
      <c r="D3" s="69" t="s">
        <v>142</v>
      </c>
      <c r="E3" s="70" t="s">
        <v>9</v>
      </c>
    </row>
    <row r="4" spans="1:5" x14ac:dyDescent="0.3">
      <c r="A4" s="67" t="s">
        <v>218</v>
      </c>
      <c r="B4" s="68" t="s">
        <v>219</v>
      </c>
      <c r="C4" s="71">
        <v>66</v>
      </c>
      <c r="D4" s="72" t="s">
        <v>150</v>
      </c>
      <c r="E4" s="73" t="s">
        <v>220</v>
      </c>
    </row>
    <row r="5" spans="1:5" x14ac:dyDescent="0.3">
      <c r="A5" s="67" t="s">
        <v>5</v>
      </c>
      <c r="B5" s="68" t="s">
        <v>221</v>
      </c>
      <c r="C5">
        <v>73</v>
      </c>
      <c r="D5" s="69" t="s">
        <v>154</v>
      </c>
      <c r="E5" s="70" t="s">
        <v>9</v>
      </c>
    </row>
    <row r="6" spans="1:5" x14ac:dyDescent="0.3">
      <c r="A6" s="67" t="s">
        <v>9</v>
      </c>
      <c r="B6" s="68" t="s">
        <v>222</v>
      </c>
      <c r="C6">
        <v>93</v>
      </c>
      <c r="D6" s="69" t="s">
        <v>159</v>
      </c>
      <c r="E6" s="70" t="s">
        <v>9</v>
      </c>
    </row>
    <row r="7" spans="1:5" x14ac:dyDescent="0.3">
      <c r="A7" s="67" t="s">
        <v>223</v>
      </c>
      <c r="B7" s="68" t="s">
        <v>224</v>
      </c>
      <c r="C7">
        <v>108</v>
      </c>
      <c r="D7" s="69" t="s">
        <v>164</v>
      </c>
      <c r="E7" s="70" t="s">
        <v>9</v>
      </c>
    </row>
    <row r="8" spans="1:5" x14ac:dyDescent="0.3">
      <c r="A8" s="67" t="s">
        <v>225</v>
      </c>
      <c r="B8" s="68" t="s">
        <v>226</v>
      </c>
      <c r="C8">
        <v>122</v>
      </c>
      <c r="D8" s="69" t="s">
        <v>173</v>
      </c>
      <c r="E8" s="70" t="s">
        <v>9</v>
      </c>
    </row>
    <row r="9" spans="1:5" x14ac:dyDescent="0.3">
      <c r="A9" s="67" t="s">
        <v>227</v>
      </c>
      <c r="B9" s="68" t="s">
        <v>228</v>
      </c>
      <c r="C9">
        <v>202</v>
      </c>
      <c r="D9" s="69" t="s">
        <v>176</v>
      </c>
      <c r="E9" s="70" t="s">
        <v>9</v>
      </c>
    </row>
    <row r="10" spans="1:5" x14ac:dyDescent="0.3">
      <c r="A10" s="67" t="s">
        <v>229</v>
      </c>
      <c r="B10" s="68" t="s">
        <v>230</v>
      </c>
      <c r="C10" s="71">
        <v>321</v>
      </c>
      <c r="D10" s="72" t="s">
        <v>183</v>
      </c>
      <c r="E10" s="73" t="s">
        <v>220</v>
      </c>
    </row>
    <row r="11" spans="1:5" x14ac:dyDescent="0.3">
      <c r="A11" s="67" t="s">
        <v>231</v>
      </c>
      <c r="B11" s="68" t="s">
        <v>232</v>
      </c>
      <c r="C11">
        <v>350</v>
      </c>
      <c r="D11" s="69" t="s">
        <v>233</v>
      </c>
      <c r="E11" s="70" t="s">
        <v>9</v>
      </c>
    </row>
    <row r="12" spans="1:5" x14ac:dyDescent="0.3">
      <c r="A12" s="67" t="s">
        <v>234</v>
      </c>
      <c r="B12" s="68" t="s">
        <v>235</v>
      </c>
      <c r="C12">
        <v>746</v>
      </c>
      <c r="D12" s="69" t="s">
        <v>193</v>
      </c>
      <c r="E12" s="70" t="s">
        <v>9</v>
      </c>
    </row>
    <row r="13" spans="1:5" x14ac:dyDescent="0.3">
      <c r="A13" s="67" t="s">
        <v>236</v>
      </c>
      <c r="B13" s="68" t="s">
        <v>237</v>
      </c>
      <c r="C13">
        <v>747</v>
      </c>
      <c r="D13" s="69" t="s">
        <v>195</v>
      </c>
      <c r="E13" s="70" t="s">
        <v>9</v>
      </c>
    </row>
    <row r="14" spans="1:5" ht="15" thickBot="1" x14ac:dyDescent="0.35">
      <c r="A14" s="67" t="s">
        <v>238</v>
      </c>
      <c r="B14" s="68" t="s">
        <v>239</v>
      </c>
      <c r="C14" s="74">
        <v>920</v>
      </c>
      <c r="D14" s="75" t="s">
        <v>197</v>
      </c>
      <c r="E14" s="76" t="s">
        <v>9</v>
      </c>
    </row>
    <row r="15" spans="1:5" ht="15" thickBot="1" x14ac:dyDescent="0.35">
      <c r="A15" s="77" t="s">
        <v>15</v>
      </c>
      <c r="B15" s="78" t="s">
        <v>240</v>
      </c>
    </row>
    <row r="16" spans="1:5" x14ac:dyDescent="0.3">
      <c r="A16" s="79"/>
    </row>
    <row r="17" spans="1:2" ht="16.2" thickBot="1" x14ac:dyDescent="0.35">
      <c r="A17" s="57" t="s">
        <v>210</v>
      </c>
      <c r="B17" s="80" t="s">
        <v>149</v>
      </c>
    </row>
    <row r="18" spans="1:2" x14ac:dyDescent="0.3">
      <c r="A18" s="81" t="s">
        <v>241</v>
      </c>
      <c r="B18" s="63" t="s">
        <v>242</v>
      </c>
    </row>
    <row r="19" spans="1:2" x14ac:dyDescent="0.3">
      <c r="A19" s="82" t="s">
        <v>216</v>
      </c>
      <c r="B19" s="68" t="s">
        <v>243</v>
      </c>
    </row>
    <row r="20" spans="1:2" x14ac:dyDescent="0.3">
      <c r="A20" s="82" t="s">
        <v>244</v>
      </c>
      <c r="B20" s="68" t="s">
        <v>245</v>
      </c>
    </row>
    <row r="21" spans="1:2" x14ac:dyDescent="0.3">
      <c r="A21" s="82" t="s">
        <v>246</v>
      </c>
      <c r="B21" s="68" t="s">
        <v>247</v>
      </c>
    </row>
    <row r="22" spans="1:2" x14ac:dyDescent="0.3">
      <c r="A22" s="82" t="s">
        <v>248</v>
      </c>
      <c r="B22" s="68" t="s">
        <v>249</v>
      </c>
    </row>
    <row r="23" spans="1:2" x14ac:dyDescent="0.3">
      <c r="A23" s="82" t="s">
        <v>250</v>
      </c>
      <c r="B23" s="68" t="s">
        <v>251</v>
      </c>
    </row>
    <row r="24" spans="1:2" x14ac:dyDescent="0.3">
      <c r="A24" s="82" t="s">
        <v>252</v>
      </c>
      <c r="B24" s="68" t="s">
        <v>253</v>
      </c>
    </row>
    <row r="25" spans="1:2" x14ac:dyDescent="0.3">
      <c r="A25" s="82" t="s">
        <v>254</v>
      </c>
      <c r="B25" s="68" t="s">
        <v>255</v>
      </c>
    </row>
    <row r="26" spans="1:2" x14ac:dyDescent="0.3">
      <c r="A26" s="82" t="s">
        <v>256</v>
      </c>
      <c r="B26" s="68" t="s">
        <v>257</v>
      </c>
    </row>
    <row r="27" spans="1:2" x14ac:dyDescent="0.3">
      <c r="A27" s="82" t="s">
        <v>258</v>
      </c>
      <c r="B27" s="68" t="s">
        <v>259</v>
      </c>
    </row>
    <row r="28" spans="1:2" x14ac:dyDescent="0.3">
      <c r="A28" s="82" t="s">
        <v>260</v>
      </c>
      <c r="B28" s="68" t="s">
        <v>261</v>
      </c>
    </row>
    <row r="29" spans="1:2" x14ac:dyDescent="0.3">
      <c r="A29" s="82" t="s">
        <v>262</v>
      </c>
      <c r="B29" s="68" t="s">
        <v>263</v>
      </c>
    </row>
    <row r="30" spans="1:2" x14ac:dyDescent="0.3">
      <c r="A30" s="82" t="s">
        <v>264</v>
      </c>
      <c r="B30" s="68" t="s">
        <v>265</v>
      </c>
    </row>
    <row r="31" spans="1:2" x14ac:dyDescent="0.3">
      <c r="A31" s="82" t="s">
        <v>266</v>
      </c>
      <c r="B31" s="68" t="s">
        <v>267</v>
      </c>
    </row>
    <row r="32" spans="1:2" x14ac:dyDescent="0.3">
      <c r="A32" s="82" t="s">
        <v>268</v>
      </c>
      <c r="B32" s="68" t="s">
        <v>269</v>
      </c>
    </row>
    <row r="33" spans="1:2" x14ac:dyDescent="0.3">
      <c r="A33" s="82" t="s">
        <v>270</v>
      </c>
      <c r="B33" s="68" t="s">
        <v>271</v>
      </c>
    </row>
    <row r="34" spans="1:2" x14ac:dyDescent="0.3">
      <c r="A34" s="82" t="s">
        <v>272</v>
      </c>
      <c r="B34" s="68" t="s">
        <v>273</v>
      </c>
    </row>
    <row r="35" spans="1:2" x14ac:dyDescent="0.3">
      <c r="A35" s="82" t="s">
        <v>274</v>
      </c>
      <c r="B35" s="68" t="s">
        <v>275</v>
      </c>
    </row>
    <row r="36" spans="1:2" x14ac:dyDescent="0.3">
      <c r="A36" s="82" t="s">
        <v>276</v>
      </c>
      <c r="B36" s="68" t="s">
        <v>277</v>
      </c>
    </row>
    <row r="37" spans="1:2" x14ac:dyDescent="0.3">
      <c r="A37" s="82" t="s">
        <v>278</v>
      </c>
      <c r="B37" s="68" t="s">
        <v>279</v>
      </c>
    </row>
    <row r="38" spans="1:2" x14ac:dyDescent="0.3">
      <c r="A38" s="82" t="s">
        <v>280</v>
      </c>
      <c r="B38" s="68" t="s">
        <v>281</v>
      </c>
    </row>
    <row r="39" spans="1:2" x14ac:dyDescent="0.3">
      <c r="A39" s="82" t="s">
        <v>282</v>
      </c>
      <c r="B39" s="68" t="s">
        <v>283</v>
      </c>
    </row>
    <row r="40" spans="1:2" x14ac:dyDescent="0.3">
      <c r="A40" s="82" t="s">
        <v>284</v>
      </c>
      <c r="B40" s="68" t="s">
        <v>285</v>
      </c>
    </row>
    <row r="41" spans="1:2" x14ac:dyDescent="0.3">
      <c r="A41" s="82" t="s">
        <v>286</v>
      </c>
      <c r="B41" s="68" t="s">
        <v>287</v>
      </c>
    </row>
    <row r="42" spans="1:2" x14ac:dyDescent="0.3">
      <c r="A42" s="82" t="s">
        <v>288</v>
      </c>
      <c r="B42" s="68" t="s">
        <v>289</v>
      </c>
    </row>
    <row r="43" spans="1:2" x14ac:dyDescent="0.3">
      <c r="A43" s="82" t="s">
        <v>290</v>
      </c>
      <c r="B43" s="68" t="s">
        <v>291</v>
      </c>
    </row>
    <row r="44" spans="1:2" x14ac:dyDescent="0.3">
      <c r="A44" s="82" t="s">
        <v>292</v>
      </c>
      <c r="B44" s="68" t="s">
        <v>293</v>
      </c>
    </row>
    <row r="45" spans="1:2" ht="15" thickBot="1" x14ac:dyDescent="0.35">
      <c r="A45" s="83" t="s">
        <v>15</v>
      </c>
      <c r="B45" s="78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lef_sample</vt:lpstr>
      <vt:lpstr>Species_Slope_DRC</vt:lpstr>
      <vt:lpstr>Data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Affleck, David</cp:lastModifiedBy>
  <dcterms:created xsi:type="dcterms:W3CDTF">2025-09-18T16:43:19Z</dcterms:created>
  <dcterms:modified xsi:type="dcterms:W3CDTF">2025-09-18T17:01:41Z</dcterms:modified>
</cp:coreProperties>
</file>